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C9\EXCELCNV\d290313b-b965-4fb6-9bea-c8e360fc9440\"/>
    </mc:Choice>
  </mc:AlternateContent>
  <xr:revisionPtr revIDLastSave="0" documentId="8_{622A46F7-CA1C-4168-A758-CD1AF67E80C7}" xr6:coauthVersionLast="47" xr6:coauthVersionMax="47" xr10:uidLastSave="{00000000-0000-0000-0000-000000000000}"/>
  <bookViews>
    <workbookView xWindow="-60" yWindow="-60" windowWidth="15480" windowHeight="11640" xr2:uid="{8A765CE5-F0B8-4458-B323-5137AB0BB7DB}"/>
  </bookViews>
  <sheets>
    <sheet name="Dashboard" sheetId="3" r:id="rId1"/>
    <sheet name="Reorder Alert" sheetId="5" r:id="rId2"/>
    <sheet name="Pivot Analysis" sheetId="4" r:id="rId3"/>
    <sheet name="Raw Data" sheetId="1" r:id="rId4"/>
    <sheet name="KPI Summary" sheetId="2" r:id="rId5"/>
  </sheets>
  <definedNames>
    <definedName name="_xlchart.v1.0" hidden="1">Dashboard!$G$14:$G$17</definedName>
    <definedName name="_xlchart.v1.1" hidden="1">Dashboard!$H$13</definedName>
    <definedName name="_xlchart.v1.2" hidden="1">Dashboard!$H$14:$H$17</definedName>
    <definedName name="Slicer_Category">#N/A</definedName>
    <definedName name="Slicer_Region1">#N/A</definedName>
    <definedName name="Slicer_Warehouse1">#N/A</definedName>
  </definedNames>
  <calcPr calcId="191028"/>
  <pivotCaches>
    <pivotCache cacheId="483" r:id="rId6"/>
    <pivotCache cacheId="484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H17" i="3"/>
  <c r="H16" i="3"/>
  <c r="H15" i="3"/>
  <c r="H14" i="3"/>
  <c r="H9" i="3"/>
  <c r="B14" i="2"/>
  <c r="B13" i="2"/>
  <c r="B12" i="2"/>
  <c r="M4" i="3"/>
  <c r="I4" i="3"/>
  <c r="E4" i="3"/>
  <c r="A4" i="3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2" i="1"/>
  <c r="E2" i="2"/>
  <c r="F2" i="2"/>
  <c r="G2" i="2"/>
  <c r="E3" i="2"/>
  <c r="F3" i="2"/>
  <c r="G3" i="2"/>
  <c r="E4" i="2"/>
  <c r="F4" i="2"/>
  <c r="G4" i="2"/>
  <c r="E5" i="2"/>
  <c r="F5" i="2"/>
  <c r="G5" i="2"/>
  <c r="E6" i="2"/>
  <c r="F6" i="2"/>
  <c r="G6" i="2"/>
  <c r="E7" i="2"/>
  <c r="F7" i="2"/>
  <c r="G7" i="2"/>
  <c r="B8" i="2"/>
  <c r="B7" i="2"/>
  <c r="B6" i="2"/>
  <c r="B5" i="2"/>
  <c r="B4" i="2"/>
  <c r="B2" i="2"/>
  <c r="B3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2" i="1"/>
  <c r="H11" i="3" l="1"/>
  <c r="H10" i="3"/>
</calcChain>
</file>

<file path=xl/sharedStrings.xml><?xml version="1.0" encoding="utf-8"?>
<sst xmlns="http://schemas.openxmlformats.org/spreadsheetml/2006/main" count="938" uniqueCount="357">
  <si>
    <t>SUPPLY CHAIN &amp; INVENTORY ANALYSIS DASHBOARD - 2024</t>
  </si>
  <si>
    <t>TOTAL REVENUE (₹)</t>
  </si>
  <si>
    <t>TOTAL UNITS SOLD</t>
  </si>
  <si>
    <t>LOW STOCK ITEMS</t>
  </si>
  <si>
    <t>AVG LEAD TIME (DAYS)</t>
  </si>
  <si>
    <t>TARGET vs ACTUAL PERFORMANCE</t>
  </si>
  <si>
    <t>Annual Revenue Target (₹)</t>
  </si>
  <si>
    <t>Actual Revenue (₹)</t>
  </si>
  <si>
    <t>Achievement %</t>
  </si>
  <si>
    <t>Variance (₹)</t>
  </si>
  <si>
    <t>REGION-WISE REVENUE</t>
  </si>
  <si>
    <t>North</t>
  </si>
  <si>
    <t>South</t>
  </si>
  <si>
    <t>East</t>
  </si>
  <si>
    <t>West</t>
  </si>
  <si>
    <t>REORDER ALERT TRACKER</t>
  </si>
  <si>
    <t>Status</t>
  </si>
  <si>
    <t>Warehouse</t>
  </si>
  <si>
    <t>Sum of Units Sold</t>
  </si>
  <si>
    <t>Warehouse A - Mumbai</t>
  </si>
  <si>
    <t>Warehouse B - Delhi</t>
  </si>
  <si>
    <t>Warehouse C - Chennai</t>
  </si>
  <si>
    <t>Warehouse D - Kolkata</t>
  </si>
  <si>
    <t>Warehouse E - Hyderabad</t>
  </si>
  <si>
    <t>Grand Total</t>
  </si>
  <si>
    <t>Month</t>
  </si>
  <si>
    <t>Sum of Total Revenue</t>
  </si>
  <si>
    <t>Supplier</t>
  </si>
  <si>
    <t>Average of Lead Time (Days)</t>
  </si>
  <si>
    <t>Jan</t>
  </si>
  <si>
    <t>Apex Distributors</t>
  </si>
  <si>
    <t>Feb</t>
  </si>
  <si>
    <t>EastWest Trading</t>
  </si>
  <si>
    <t>Mar</t>
  </si>
  <si>
    <t>FastTrack Logistics</t>
  </si>
  <si>
    <t>Apr</t>
  </si>
  <si>
    <t>GlobalTrade Ltd.</t>
  </si>
  <si>
    <t>May</t>
  </si>
  <si>
    <t>NexGen Suppliers</t>
  </si>
  <si>
    <t>Jun</t>
  </si>
  <si>
    <t>PrimeSources Inc.</t>
  </si>
  <si>
    <t>Jul</t>
  </si>
  <si>
    <t>QuickSupply Co.</t>
  </si>
  <si>
    <t>Aug</t>
  </si>
  <si>
    <t>ValueChain Corp.</t>
  </si>
  <si>
    <t>Sep</t>
  </si>
  <si>
    <t>Oct</t>
  </si>
  <si>
    <t>Nov</t>
  </si>
  <si>
    <t>Dec</t>
  </si>
  <si>
    <t>Category</t>
  </si>
  <si>
    <t>Clothing</t>
  </si>
  <si>
    <t>Electronics</t>
  </si>
  <si>
    <t>Food &amp; Beverages</t>
  </si>
  <si>
    <t>Furniture</t>
  </si>
  <si>
    <t>Industrial</t>
  </si>
  <si>
    <t>Office Supplies</t>
  </si>
  <si>
    <t>Order ID</t>
  </si>
  <si>
    <t>Date</t>
  </si>
  <si>
    <t>Product ID</t>
  </si>
  <si>
    <t>Product Name</t>
  </si>
  <si>
    <t>Region</t>
  </si>
  <si>
    <t>Stock Quantity</t>
  </si>
  <si>
    <t>Reorder Level</t>
  </si>
  <si>
    <t>Units Sold</t>
  </si>
  <si>
    <t>Unit Price</t>
  </si>
  <si>
    <t>Lead Time (Days)</t>
  </si>
  <si>
    <t>Total Revenue</t>
  </si>
  <si>
    <t>Stock Status</t>
  </si>
  <si>
    <t>ORD-1001</t>
  </si>
  <si>
    <t>PRD-101</t>
  </si>
  <si>
    <t>Laptop</t>
  </si>
  <si>
    <t>ORD-1002</t>
  </si>
  <si>
    <t>PRD-102</t>
  </si>
  <si>
    <t>Office Chair</t>
  </si>
  <si>
    <t>ORD-1003</t>
  </si>
  <si>
    <t>PRD-103</t>
  </si>
  <si>
    <t>Winter Jacket</t>
  </si>
  <si>
    <t>ORD-1004</t>
  </si>
  <si>
    <t>PRD-104</t>
  </si>
  <si>
    <t>Coffee Beans</t>
  </si>
  <si>
    <t>ORD-1005</t>
  </si>
  <si>
    <t>PRD-105</t>
  </si>
  <si>
    <t>A4 Paper Ream</t>
  </si>
  <si>
    <t>ORD-1006</t>
  </si>
  <si>
    <t>PRD-106</t>
  </si>
  <si>
    <t>Safety Helmet</t>
  </si>
  <si>
    <t>ORD-1007</t>
  </si>
  <si>
    <t>PRD-107</t>
  </si>
  <si>
    <t>Smartphone</t>
  </si>
  <si>
    <t>ORD-1008</t>
  </si>
  <si>
    <t>PRD-108</t>
  </si>
  <si>
    <t>Standing Desk</t>
  </si>
  <si>
    <t>ORD-1009</t>
  </si>
  <si>
    <t>PRD-109</t>
  </si>
  <si>
    <t>Sports Shoes</t>
  </si>
  <si>
    <t>ORD-1010</t>
  </si>
  <si>
    <t>PRD-110</t>
  </si>
  <si>
    <t>Green Tea</t>
  </si>
  <si>
    <t>ORD-1011</t>
  </si>
  <si>
    <t>PRD-111</t>
  </si>
  <si>
    <t>Tablet</t>
  </si>
  <si>
    <t>ORD-1012</t>
  </si>
  <si>
    <t>PRD-112</t>
  </si>
  <si>
    <t>Bookshelf</t>
  </si>
  <si>
    <t>ORD-1013</t>
  </si>
  <si>
    <t>PRD-113</t>
  </si>
  <si>
    <t>Formal Shirt</t>
  </si>
  <si>
    <t>ORD-1014</t>
  </si>
  <si>
    <t>PRD-114</t>
  </si>
  <si>
    <t>Energy Drink</t>
  </si>
  <si>
    <t>ORD-1015</t>
  </si>
  <si>
    <t>PRD-115</t>
  </si>
  <si>
    <t>Ball Pen Set</t>
  </si>
  <si>
    <t>ORD-1016</t>
  </si>
  <si>
    <t>PRD-116</t>
  </si>
  <si>
    <t>Work Gloves</t>
  </si>
  <si>
    <t>ORD-1017</t>
  </si>
  <si>
    <t>PRD-117</t>
  </si>
  <si>
    <t>Monitor</t>
  </si>
  <si>
    <t>ORD-1018</t>
  </si>
  <si>
    <t>PRD-118</t>
  </si>
  <si>
    <t>Filing Cabinet</t>
  </si>
  <si>
    <t>ORD-1019</t>
  </si>
  <si>
    <t>PRD-119</t>
  </si>
  <si>
    <t>Denim Jeans</t>
  </si>
  <si>
    <t>ORD-1020</t>
  </si>
  <si>
    <t>PRD-120</t>
  </si>
  <si>
    <t>Mineral Water</t>
  </si>
  <si>
    <t>ORD-1021</t>
  </si>
  <si>
    <t>PRD-121</t>
  </si>
  <si>
    <t>Keyboard</t>
  </si>
  <si>
    <t>ORD-1022</t>
  </si>
  <si>
    <t>PRD-122</t>
  </si>
  <si>
    <t>Sofa</t>
  </si>
  <si>
    <t>ORD-1023</t>
  </si>
  <si>
    <t>PRD-123</t>
  </si>
  <si>
    <t>Polo T-Shirt</t>
  </si>
  <si>
    <t>ORD-1024</t>
  </si>
  <si>
    <t>PRD-124</t>
  </si>
  <si>
    <t>Protein Bar</t>
  </si>
  <si>
    <t>ORD-1025</t>
  </si>
  <si>
    <t>PRD-125</t>
  </si>
  <si>
    <t>Stapler</t>
  </si>
  <si>
    <t>ORD-1026</t>
  </si>
  <si>
    <t>PRD-126</t>
  </si>
  <si>
    <t>Power Drill</t>
  </si>
  <si>
    <t>ORD-1027</t>
  </si>
  <si>
    <t>PRD-127</t>
  </si>
  <si>
    <t>Headphones</t>
  </si>
  <si>
    <t>ORD-1028</t>
  </si>
  <si>
    <t>PRD-128</t>
  </si>
  <si>
    <t>Conference Table</t>
  </si>
  <si>
    <t>ORD-1029</t>
  </si>
  <si>
    <t>PRD-129</t>
  </si>
  <si>
    <t>Blazer</t>
  </si>
  <si>
    <t>ORD-1030</t>
  </si>
  <si>
    <t>PRD-130</t>
  </si>
  <si>
    <t>Instant Noodles</t>
  </si>
  <si>
    <t>ORD-1031</t>
  </si>
  <si>
    <t>PRD-131</t>
  </si>
  <si>
    <t>Webcam</t>
  </si>
  <si>
    <t>ORD-1032</t>
  </si>
  <si>
    <t>PRD-132</t>
  </si>
  <si>
    <t>ORD-1033</t>
  </si>
  <si>
    <t>PRD-133</t>
  </si>
  <si>
    <t>ORD-1034</t>
  </si>
  <si>
    <t>PRD-134</t>
  </si>
  <si>
    <t>ORD-1035</t>
  </si>
  <si>
    <t>PRD-135</t>
  </si>
  <si>
    <t>Whiteboard Marker</t>
  </si>
  <si>
    <t>ORD-1036</t>
  </si>
  <si>
    <t>PRD-136</t>
  </si>
  <si>
    <t>Safety Boots</t>
  </si>
  <si>
    <t>ORD-1037</t>
  </si>
  <si>
    <t>PRD-137</t>
  </si>
  <si>
    <t>Router</t>
  </si>
  <si>
    <t>ORD-1038</t>
  </si>
  <si>
    <t>PRD-138</t>
  </si>
  <si>
    <t>ORD-1039</t>
  </si>
  <si>
    <t>PRD-139</t>
  </si>
  <si>
    <t>ORD-1040</t>
  </si>
  <si>
    <t>PRD-140</t>
  </si>
  <si>
    <t>ORD-1041</t>
  </si>
  <si>
    <t>PRD-141</t>
  </si>
  <si>
    <t>ORD-1042</t>
  </si>
  <si>
    <t>PRD-142</t>
  </si>
  <si>
    <t>ORD-1043</t>
  </si>
  <si>
    <t>PRD-143</t>
  </si>
  <si>
    <t>ORD-1044</t>
  </si>
  <si>
    <t>PRD-144</t>
  </si>
  <si>
    <t>ORD-1045</t>
  </si>
  <si>
    <t>PRD-145</t>
  </si>
  <si>
    <t>Tape Dispenser</t>
  </si>
  <si>
    <t>ORD-1046</t>
  </si>
  <si>
    <t>PRD-146</t>
  </si>
  <si>
    <t>Welding Mask</t>
  </si>
  <si>
    <t>ORD-1047</t>
  </si>
  <si>
    <t>PRD-147</t>
  </si>
  <si>
    <t>ORD-1048</t>
  </si>
  <si>
    <t>PRD-148</t>
  </si>
  <si>
    <t>ORD-1049</t>
  </si>
  <si>
    <t>PRD-149</t>
  </si>
  <si>
    <t>ORD-1050</t>
  </si>
  <si>
    <t>PRD-150</t>
  </si>
  <si>
    <t>ORD-1051</t>
  </si>
  <si>
    <t>PRD-151</t>
  </si>
  <si>
    <t>ORD-1052</t>
  </si>
  <si>
    <t>PRD-152</t>
  </si>
  <si>
    <t>ORD-1053</t>
  </si>
  <si>
    <t>PRD-153</t>
  </si>
  <si>
    <t>ORD-1054</t>
  </si>
  <si>
    <t>PRD-154</t>
  </si>
  <si>
    <t>ORD-1055</t>
  </si>
  <si>
    <t>PRD-155</t>
  </si>
  <si>
    <t>Scissors</t>
  </si>
  <si>
    <t>ORD-1056</t>
  </si>
  <si>
    <t>PRD-156</t>
  </si>
  <si>
    <t>Tool Kit</t>
  </si>
  <si>
    <t>ORD-1057</t>
  </si>
  <si>
    <t>PRD-157</t>
  </si>
  <si>
    <t>ORD-1058</t>
  </si>
  <si>
    <t>PRD-158</t>
  </si>
  <si>
    <t>ORD-1059</t>
  </si>
  <si>
    <t>PRD-159</t>
  </si>
  <si>
    <t>ORD-1060</t>
  </si>
  <si>
    <t>PRD-160</t>
  </si>
  <si>
    <t>ORD-1061</t>
  </si>
  <si>
    <t>PRD-161</t>
  </si>
  <si>
    <t>ORD-1062</t>
  </si>
  <si>
    <t>PRD-162</t>
  </si>
  <si>
    <t>ORD-1063</t>
  </si>
  <si>
    <t>PRD-163</t>
  </si>
  <si>
    <t>ORD-1064</t>
  </si>
  <si>
    <t>PRD-164</t>
  </si>
  <si>
    <t>ORD-1065</t>
  </si>
  <si>
    <t>PRD-165</t>
  </si>
  <si>
    <t>ORD-1066</t>
  </si>
  <si>
    <t>PRD-166</t>
  </si>
  <si>
    <t>ORD-1067</t>
  </si>
  <si>
    <t>PRD-167</t>
  </si>
  <si>
    <t>ORD-1068</t>
  </si>
  <si>
    <t>PRD-168</t>
  </si>
  <si>
    <t>ORD-1069</t>
  </si>
  <si>
    <t>PRD-169</t>
  </si>
  <si>
    <t>ORD-1070</t>
  </si>
  <si>
    <t>PRD-170</t>
  </si>
  <si>
    <t>ORD-1071</t>
  </si>
  <si>
    <t>PRD-171</t>
  </si>
  <si>
    <t>ORD-1072</t>
  </si>
  <si>
    <t>PRD-172</t>
  </si>
  <si>
    <t>ORD-1073</t>
  </si>
  <si>
    <t>PRD-173</t>
  </si>
  <si>
    <t>ORD-1074</t>
  </si>
  <si>
    <t>PRD-174</t>
  </si>
  <si>
    <t>ORD-1075</t>
  </si>
  <si>
    <t>PRD-175</t>
  </si>
  <si>
    <t>ORD-1076</t>
  </si>
  <si>
    <t>PRD-176</t>
  </si>
  <si>
    <t>ORD-1077</t>
  </si>
  <si>
    <t>PRD-177</t>
  </si>
  <si>
    <t>ORD-1078</t>
  </si>
  <si>
    <t>PRD-178</t>
  </si>
  <si>
    <t>ORD-1079</t>
  </si>
  <si>
    <t>PRD-179</t>
  </si>
  <si>
    <t>ORD-1080</t>
  </si>
  <si>
    <t>PRD-180</t>
  </si>
  <si>
    <t>ORD-1081</t>
  </si>
  <si>
    <t>PRD-181</t>
  </si>
  <si>
    <t>ORD-1082</t>
  </si>
  <si>
    <t>PRD-182</t>
  </si>
  <si>
    <t>ORD-1083</t>
  </si>
  <si>
    <t>PRD-183</t>
  </si>
  <si>
    <t>ORD-1084</t>
  </si>
  <si>
    <t>PRD-184</t>
  </si>
  <si>
    <t>ORD-1085</t>
  </si>
  <si>
    <t>PRD-185</t>
  </si>
  <si>
    <t>ORD-1086</t>
  </si>
  <si>
    <t>PRD-186</t>
  </si>
  <si>
    <t>ORD-1087</t>
  </si>
  <si>
    <t>PRD-187</t>
  </si>
  <si>
    <t>ORD-1088</t>
  </si>
  <si>
    <t>PRD-188</t>
  </si>
  <si>
    <t>ORD-1089</t>
  </si>
  <si>
    <t>PRD-189</t>
  </si>
  <si>
    <t>ORD-1090</t>
  </si>
  <si>
    <t>PRD-190</t>
  </si>
  <si>
    <t>ORD-1091</t>
  </si>
  <si>
    <t>PRD-191</t>
  </si>
  <si>
    <t>ORD-1092</t>
  </si>
  <si>
    <t>PRD-192</t>
  </si>
  <si>
    <t>ORD-1093</t>
  </si>
  <si>
    <t>PRD-193</t>
  </si>
  <si>
    <t>ORD-1094</t>
  </si>
  <si>
    <t>PRD-194</t>
  </si>
  <si>
    <t>ORD-1095</t>
  </si>
  <si>
    <t>PRD-195</t>
  </si>
  <si>
    <t>ORD-1096</t>
  </si>
  <si>
    <t>PRD-196</t>
  </si>
  <si>
    <t>ORD-1097</t>
  </si>
  <si>
    <t>PRD-197</t>
  </si>
  <si>
    <t>ORD-1098</t>
  </si>
  <si>
    <t>PRD-198</t>
  </si>
  <si>
    <t>ORD-1099</t>
  </si>
  <si>
    <t>PRD-199</t>
  </si>
  <si>
    <t>ORD-1100</t>
  </si>
  <si>
    <t>PRD-200</t>
  </si>
  <si>
    <t>ORD-1101</t>
  </si>
  <si>
    <t>PRD-201</t>
  </si>
  <si>
    <t>ORD-1102</t>
  </si>
  <si>
    <t>PRD-202</t>
  </si>
  <si>
    <t>ORD-1103</t>
  </si>
  <si>
    <t>PRD-203</t>
  </si>
  <si>
    <t>ORD-1104</t>
  </si>
  <si>
    <t>PRD-204</t>
  </si>
  <si>
    <t>ORD-1105</t>
  </si>
  <si>
    <t>PRD-205</t>
  </si>
  <si>
    <t>ORD-1106</t>
  </si>
  <si>
    <t>PRD-206</t>
  </si>
  <si>
    <t>ORD-1107</t>
  </si>
  <si>
    <t>PRD-207</t>
  </si>
  <si>
    <t>ORD-1108</t>
  </si>
  <si>
    <t>PRD-208</t>
  </si>
  <si>
    <t>ORD-1109</t>
  </si>
  <si>
    <t>PRD-209</t>
  </si>
  <si>
    <t>ORD-1110</t>
  </si>
  <si>
    <t>PRD-210</t>
  </si>
  <si>
    <t>ORD-1111</t>
  </si>
  <si>
    <t>PRD-211</t>
  </si>
  <si>
    <t>ORD-1112</t>
  </si>
  <si>
    <t>PRD-212</t>
  </si>
  <si>
    <t>ORD-1113</t>
  </si>
  <si>
    <t>PRD-213</t>
  </si>
  <si>
    <t>ORD-1114</t>
  </si>
  <si>
    <t>PRD-214</t>
  </si>
  <si>
    <t>ORD-1115</t>
  </si>
  <si>
    <t>PRD-215</t>
  </si>
  <si>
    <t>ORD-1116</t>
  </si>
  <si>
    <t>PRD-216</t>
  </si>
  <si>
    <t>ORD-1117</t>
  </si>
  <si>
    <t>PRD-217</t>
  </si>
  <si>
    <t>ORD-1118</t>
  </si>
  <si>
    <t>PRD-218</t>
  </si>
  <si>
    <t>ORD-1119</t>
  </si>
  <si>
    <t>PRD-219</t>
  </si>
  <si>
    <t>ORD-1120</t>
  </si>
  <si>
    <t>PRD-220</t>
  </si>
  <si>
    <t>Metric</t>
  </si>
  <si>
    <t>Unit Sold</t>
  </si>
  <si>
    <t>Avg Unit Price</t>
  </si>
  <si>
    <t>Total Unit Sold</t>
  </si>
  <si>
    <t>Total order</t>
  </si>
  <si>
    <t>Avg Lead Time</t>
  </si>
  <si>
    <t>Low Stock Item</t>
  </si>
  <si>
    <t>Out of Stock Item</t>
  </si>
  <si>
    <t>Value</t>
  </si>
  <si>
    <t>In Stock</t>
  </si>
  <si>
    <t>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</si>
</sst>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%"/>
    <numFmt numFmtId="168" formatCode="[$₹-4009]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0" fontId="13" fillId="33" borderId="10" xfId="19" applyFont="1" applyFill="1" applyBorder="1"/>
    <xf numFmtId="0" fontId="1" fillId="10" borderId="10" xfId="19" applyBorder="1"/>
    <xf numFmtId="0" fontId="0" fillId="0" borderId="0" xfId="0" pivotButton="1"/>
    <xf numFmtId="0" fontId="0" fillId="0" borderId="0" xfId="0" applyFont="1"/>
    <xf numFmtId="166" fontId="0" fillId="0" borderId="0" xfId="0" applyNumberFormat="1"/>
    <xf numFmtId="0" fontId="19" fillId="35" borderId="0" xfId="0" applyFont="1" applyFill="1" applyAlignment="1"/>
    <xf numFmtId="0" fontId="19" fillId="37" borderId="0" xfId="0" applyFont="1" applyFill="1" applyAlignment="1"/>
    <xf numFmtId="0" fontId="18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/>
    </xf>
    <xf numFmtId="2" fontId="20" fillId="36" borderId="0" xfId="0" applyNumberFormat="1" applyFont="1" applyFill="1" applyAlignment="1">
      <alignment horizontal="center"/>
    </xf>
    <xf numFmtId="0" fontId="20" fillId="36" borderId="0" xfId="0" applyFont="1" applyFill="1" applyAlignment="1">
      <alignment horizontal="center"/>
    </xf>
    <xf numFmtId="0" fontId="19" fillId="35" borderId="0" xfId="0" applyFont="1" applyFill="1" applyAlignment="1">
      <alignment horizontal="center" vertical="center"/>
    </xf>
    <xf numFmtId="1" fontId="20" fillId="36" borderId="0" xfId="0" applyNumberFormat="1" applyFont="1" applyFill="1" applyAlignment="1">
      <alignment horizontal="center"/>
    </xf>
    <xf numFmtId="0" fontId="13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[Spply_Chain_Dataset.xlsx]Pivot Analysis!PivotTable6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'Pivot Analysis'!$A$34:$A$40</c:f>
              <c:strCache>
                <c:ptCount val="6"/>
                <c:pt idx="0">
                  <c:v>Clothing</c:v>
                </c:pt>
                <c:pt idx="1">
                  <c:v>Electronics</c:v>
                </c:pt>
                <c:pt idx="2">
                  <c:v>Food &amp; Beverages</c:v>
                </c:pt>
                <c:pt idx="3">
                  <c:v>Furniture</c:v>
                </c:pt>
                <c:pt idx="4">
                  <c:v>Industrial</c:v>
                </c:pt>
                <c:pt idx="5">
                  <c:v>Office Supplies</c:v>
                </c:pt>
              </c:strCache>
            </c:strRef>
          </c:cat>
          <c:val>
            <c:numRef>
              <c:f>'Pivot Analysis'!$B$34:$B$40</c:f>
              <c:numCache>
                <c:formatCode>0.000</c:formatCode>
                <c:ptCount val="6"/>
                <c:pt idx="0">
                  <c:v>2536990</c:v>
                </c:pt>
                <c:pt idx="1">
                  <c:v>10419200</c:v>
                </c:pt>
                <c:pt idx="2">
                  <c:v>588860</c:v>
                </c:pt>
                <c:pt idx="3">
                  <c:v>2989000</c:v>
                </c:pt>
                <c:pt idx="4">
                  <c:v>435900</c:v>
                </c:pt>
                <c:pt idx="5">
                  <c:v>259545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3-4543-8893-081CDBEE5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3182472"/>
        <c:axId val="1853184520"/>
      </c:barChart>
      <c:catAx>
        <c:axId val="185318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0000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184520"/>
        <c:crosses val="autoZero"/>
        <c:auto val="1"/>
        <c:lblAlgn val="ctr"/>
        <c:lblOffset val="100"/>
        <c:noMultiLvlLbl val="0"/>
      </c:catAx>
      <c:valAx>
        <c:axId val="185318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18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[Spply_Chain_Dataset.xlsx]Pivot Analysis!PivotTable4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FFFFFF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Analysis'!$A$15:$A$27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Analysis'!$B$15:$B$27</c:f>
              <c:numCache>
                <c:formatCode>0.000</c:formatCode>
                <c:ptCount val="12"/>
                <c:pt idx="0">
                  <c:v>2812000</c:v>
                </c:pt>
                <c:pt idx="1">
                  <c:v>1159600</c:v>
                </c:pt>
                <c:pt idx="2">
                  <c:v>810800</c:v>
                </c:pt>
                <c:pt idx="3">
                  <c:v>960800</c:v>
                </c:pt>
                <c:pt idx="4">
                  <c:v>2471460</c:v>
                </c:pt>
                <c:pt idx="5">
                  <c:v>1235935</c:v>
                </c:pt>
                <c:pt idx="6">
                  <c:v>783975</c:v>
                </c:pt>
                <c:pt idx="7">
                  <c:v>1899620</c:v>
                </c:pt>
                <c:pt idx="8">
                  <c:v>1242744</c:v>
                </c:pt>
                <c:pt idx="9">
                  <c:v>1291080</c:v>
                </c:pt>
                <c:pt idx="10">
                  <c:v>863500</c:v>
                </c:pt>
                <c:pt idx="11">
                  <c:v>1697981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D9-4968-9807-BA0FE5B8F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90599"/>
        <c:axId val="129413127"/>
      </c:lineChart>
      <c:catAx>
        <c:axId val="129390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3127"/>
        <c:crosses val="autoZero"/>
        <c:auto val="1"/>
        <c:lblAlgn val="ctr"/>
        <c:lblOffset val="100"/>
        <c:noMultiLvlLbl val="0"/>
      </c:catAx>
      <c:valAx>
        <c:axId val="129413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90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[Spply_Chain_Dataset.xlsx]Pivot Analysis!PivotTable2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Analysis'!$D$4:$D$9</c:f>
              <c:strCache>
                <c:ptCount val="5"/>
                <c:pt idx="0">
                  <c:v>Warehouse A - Mumbai</c:v>
                </c:pt>
                <c:pt idx="1">
                  <c:v>Warehouse B - Delhi</c:v>
                </c:pt>
                <c:pt idx="2">
                  <c:v>Warehouse C - Chennai</c:v>
                </c:pt>
                <c:pt idx="3">
                  <c:v>Warehouse D - Kolkata</c:v>
                </c:pt>
                <c:pt idx="4">
                  <c:v>Warehouse E - Hyderabad</c:v>
                </c:pt>
              </c:strCache>
            </c:strRef>
          </c:cat>
          <c:val>
            <c:numRef>
              <c:f>'Pivot Analysis'!$E$4:$E$9</c:f>
              <c:numCache>
                <c:formatCode>0.0</c:formatCode>
                <c:ptCount val="5"/>
                <c:pt idx="0">
                  <c:v>589</c:v>
                </c:pt>
                <c:pt idx="1">
                  <c:v>434</c:v>
                </c:pt>
                <c:pt idx="2">
                  <c:v>698</c:v>
                </c:pt>
                <c:pt idx="3">
                  <c:v>1723</c:v>
                </c:pt>
                <c:pt idx="4">
                  <c:v>4810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7-42A6-8206-9A31897F4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6975879"/>
        <c:axId val="1469895687"/>
      </c:barChart>
      <c:catAx>
        <c:axId val="1096975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895687"/>
        <c:crosses val="autoZero"/>
        <c:auto val="1"/>
        <c:lblAlgn val="ctr"/>
        <c:lblOffset val="100"/>
        <c:noMultiLvlLbl val="0"/>
      </c:catAx>
      <c:valAx>
        <c:axId val="1469895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75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Status Distribution</a:t>
            </a:r>
          </a:p>
        </c:rich>
      </c:tx>
      <c:overlay val="0"/>
      <c:spPr>
        <a:solidFill>
          <a:srgbClr val="0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D4-45CD-9B05-8420E32BF7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D4-45CD-9B05-8420E32BF7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D4-45CD-9B05-8420E32BF745}"/>
              </c:ext>
            </c:extLst>
          </c:dPt>
          <c:cat>
            <c:strRef>
              <c:f>'KPI Summary'!$A$12:$A$14</c:f>
              <c:strCache>
                <c:ptCount val="3"/>
                <c:pt idx="0">
                  <c:v>In Stock</c:v>
                </c:pt>
                <c:pt idx="1">
                  <c:v>Out of Stock</c:v>
                </c:pt>
                <c:pt idx="2">
                  <c:v>Low Stock Item</c:v>
                </c:pt>
              </c:strCache>
            </c:strRef>
          </c:cat>
          <c:val>
            <c:numRef>
              <c:f>'KPI Summary'!$B$12:$B$14</c:f>
              <c:numCache>
                <c:formatCode>General</c:formatCode>
                <c:ptCount val="3"/>
                <c:pt idx="0">
                  <c:v>120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D4-45CD-9B05-8420E32BF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0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Region-wise Revenue Distribution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FFFFF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>
              <a:solidFill>
                <a:srgbClr val="FFFFFF"/>
              </a:solidFill>
            </a:rPr>
            <a:t>Region-wise Revenue Distribution</a:t>
          </a:r>
        </a:p>
      </cx:txPr>
    </cx:title>
    <cx:plotArea>
      <cx:plotAreaRegion>
        <cx:series layoutId="treemap" uniqueId="{00000000-A8A1-4046-8641-020D517D7E42}">
          <cx:tx>
            <cx:txData>
              <cx:f>_xlchart.v1.1</cx:f>
              <cx:v/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spPr>
        <a:solidFill>
          <a:srgbClr val="161616"/>
        </a:solidFill>
        <a:ln w="12700">
          <a:solidFill>
            <a:srgbClr val="3A3838"/>
          </a:solidFill>
          <a:prstDash val="solid"/>
        </a:ln>
      </cx:spPr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FFFFF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>
            <a:solidFill>
              <a:srgbClr val="FFFFFF"/>
            </a:solidFill>
          </a:endParaRPr>
        </a:p>
      </cx:txPr>
    </cx:legend>
  </cx:chart>
  <cx:spPr>
    <a:solidFill>
      <a:srgbClr val="161616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171450</xdr:rowOff>
    </xdr:from>
    <xdr:to>
      <xdr:col>4</xdr:col>
      <xdr:colOff>485775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BF4870-5ED6-4B6F-A65A-73A55DAD92B9}"/>
            </a:ext>
            <a:ext uri="{147F2762-F138-4A5C-976F-8EAC2B608ADB}">
              <a16:predDERef xmlns:a16="http://schemas.microsoft.com/office/drawing/2014/main" pred="{D5345627-2001-900F-3C62-873A9634F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209550</xdr:colOff>
      <xdr:row>4</xdr:row>
      <xdr:rowOff>95250</xdr:rowOff>
    </xdr:from>
    <xdr:to>
      <xdr:col>14</xdr:col>
      <xdr:colOff>704850</xdr:colOff>
      <xdr:row>15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323CB0-BF02-4582-A0CC-27396DD15486}"/>
            </a:ext>
            <a:ext uri="{147F2762-F138-4A5C-976F-8EAC2B608ADB}">
              <a16:predDERef xmlns:a16="http://schemas.microsoft.com/office/drawing/2014/main" pred="{B3BF4870-5ED6-4B6F-A65A-73A55DAD9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16</xdr:row>
      <xdr:rowOff>180975</xdr:rowOff>
    </xdr:from>
    <xdr:to>
      <xdr:col>4</xdr:col>
      <xdr:colOff>495300</xdr:colOff>
      <xdr:row>27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A6A73C-3C55-4687-9CA4-05FFA7CBCEDD}"/>
            </a:ext>
            <a:ext uri="{147F2762-F138-4A5C-976F-8EAC2B608ADB}">
              <a16:predDERef xmlns:a16="http://schemas.microsoft.com/office/drawing/2014/main" pred="{A4323CB0-BF02-4582-A0CC-27396DD15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200025</xdr:colOff>
      <xdr:row>16</xdr:row>
      <xdr:rowOff>171450</xdr:rowOff>
    </xdr:from>
    <xdr:to>
      <xdr:col>15</xdr:col>
      <xdr:colOff>0</xdr:colOff>
      <xdr:row>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0A12B2-BE47-4B56-8969-938D686E7C03}"/>
            </a:ext>
            <a:ext uri="{147F2762-F138-4A5C-976F-8EAC2B608ADB}">
              <a16:predDERef xmlns:a16="http://schemas.microsoft.com/office/drawing/2014/main" pred="{45A6A73C-3C55-4687-9CA4-05FFA7CBC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9525</xdr:colOff>
      <xdr:row>17</xdr:row>
      <xdr:rowOff>180975</xdr:rowOff>
    </xdr:from>
    <xdr:to>
      <xdr:col>8</xdr:col>
      <xdr:colOff>38100</xdr:colOff>
      <xdr:row>26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7EDE5B6-5BB4-86B5-6B38-37654B4BE497}"/>
                </a:ext>
                <a:ext uri="{147F2762-F138-4A5C-976F-8EAC2B608ADB}">
                  <a16:predDERef xmlns:a16="http://schemas.microsoft.com/office/drawing/2014/main" pred="{AC0A12B2-BE47-4B56-8969-938D686E7C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29225" y="3933825"/>
              <a:ext cx="2981325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28</xdr:row>
      <xdr:rowOff>28575</xdr:rowOff>
    </xdr:from>
    <xdr:to>
      <xdr:col>4</xdr:col>
      <xdr:colOff>523875</xdr:colOff>
      <xdr:row>42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28B9E5D3-5183-8A1F-813E-AB9F2B459FD8}"/>
                </a:ext>
                <a:ext uri="{147F2762-F138-4A5C-976F-8EAC2B608ADB}">
                  <a16:predDERef xmlns:a16="http://schemas.microsoft.com/office/drawing/2014/main" pred="{389CE10A-3274-A6B3-CF3E-8167FEFAF4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95600" y="5362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428625</xdr:colOff>
      <xdr:row>24</xdr:row>
      <xdr:rowOff>180975</xdr:rowOff>
    </xdr:from>
    <xdr:to>
      <xdr:col>9</xdr:col>
      <xdr:colOff>428625</xdr:colOff>
      <xdr:row>38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Warehouse 1">
              <a:extLst>
                <a:ext uri="{FF2B5EF4-FFF2-40B4-BE49-F238E27FC236}">
                  <a16:creationId xmlns:a16="http://schemas.microsoft.com/office/drawing/2014/main" id="{08C4FCAE-CF1B-26E8-F91B-099B2FE05685}"/>
                </a:ext>
                <a:ext uri="{147F2762-F138-4A5C-976F-8EAC2B608ADB}">
                  <a16:predDERef xmlns:a16="http://schemas.microsoft.com/office/drawing/2014/main" pred="{28B9E5D3-5183-8A1F-813E-AB9F2B459F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arehous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1825" y="4752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685800</xdr:colOff>
      <xdr:row>24</xdr:row>
      <xdr:rowOff>133350</xdr:rowOff>
    </xdr:from>
    <xdr:to>
      <xdr:col>6</xdr:col>
      <xdr:colOff>161925</xdr:colOff>
      <xdr:row>38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egion 1">
              <a:extLst>
                <a:ext uri="{FF2B5EF4-FFF2-40B4-BE49-F238E27FC236}">
                  <a16:creationId xmlns:a16="http://schemas.microsoft.com/office/drawing/2014/main" id="{D5345627-2001-900F-3C62-873A9634FF52}"/>
                </a:ext>
                <a:ext uri="{147F2762-F138-4A5C-976F-8EAC2B608ADB}">
                  <a16:predDERef xmlns:a16="http://schemas.microsoft.com/office/drawing/2014/main" pred="{08C4FCAE-CF1B-26E8-F91B-099B2FE056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86325" y="4705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5.484398611108" createdVersion="8" refreshedVersion="8" minRefreshableVersion="3" recordCount="120" xr:uid="{D958FB54-2F4F-41F9-AD60-BFAF706BA085}">
  <cacheSource type="worksheet">
    <worksheetSource ref="A1:N121" sheet="Raw Data"/>
  </cacheSource>
  <cacheFields count="14">
    <cacheField name="Order ID" numFmtId="0">
      <sharedItems/>
    </cacheField>
    <cacheField name="Date" numFmtId="14">
      <sharedItems containsSemiMixedTypes="0" containsNonDate="0" containsDate="1" containsString="0" minDate="2024-01-03T00:00:00" maxDate="2024-12-31T00:00:00"/>
    </cacheField>
    <cacheField name="Product ID" numFmtId="0">
      <sharedItems/>
    </cacheField>
    <cacheField name="Product Name" numFmtId="0">
      <sharedItems/>
    </cacheField>
    <cacheField name="Category" numFmtId="0">
      <sharedItems/>
    </cacheField>
    <cacheField name="Supplier" numFmtId="0">
      <sharedItems/>
    </cacheField>
    <cacheField name="Warehouse" numFmtId="0">
      <sharedItems count="5">
        <s v="Warehouse A - Mumbai"/>
        <s v="Warehouse B - Delhi"/>
        <s v="Warehouse C - Chennai"/>
        <s v="Warehouse D - Kolkata"/>
        <s v="Warehouse E - Hyderabad"/>
      </sharedItems>
    </cacheField>
    <cacheField name="Region" numFmtId="0">
      <sharedItems/>
    </cacheField>
    <cacheField name="Stock Quantity" numFmtId="164">
      <sharedItems containsSemiMixedTypes="0" containsString="0" containsNumber="1" containsInteger="1" minValue="8" maxValue="1000"/>
    </cacheField>
    <cacheField name="Reorder Level" numFmtId="164">
      <sharedItems containsSemiMixedTypes="0" containsString="0" containsNumber="1" containsInteger="1" minValue="5" maxValue="300"/>
    </cacheField>
    <cacheField name="Units Sold" numFmtId="164">
      <sharedItems containsSemiMixedTypes="0" containsString="0" containsNumber="1" containsInteger="1" minValue="2" maxValue="400"/>
    </cacheField>
    <cacheField name="Unit Price" numFmtId="165">
      <sharedItems containsSemiMixedTypes="0" containsString="0" containsNumber="1" containsInteger="1" minValue="40" maxValue="48000"/>
    </cacheField>
    <cacheField name="Lead Time (Days)" numFmtId="164">
      <sharedItems containsSemiMixedTypes="0" containsString="0" containsNumber="1" containsInteger="1" minValue="1" maxValue="18"/>
    </cacheField>
    <cacheField name="Total Revenue" numFmtId="165">
      <sharedItems containsSemiMixedTypes="0" containsString="0" containsNumber="1" containsInteger="1" minValue="13325" maxValue="13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5.484517592595" createdVersion="8" refreshedVersion="8" minRefreshableVersion="3" recordCount="120" xr:uid="{339A8C88-F12D-40BE-84EA-E7C4006C1B9E}">
  <cacheSource type="worksheet">
    <worksheetSource ref="A1:P121" sheet="Raw Data"/>
  </cacheSource>
  <cacheFields count="16">
    <cacheField name="Order ID" numFmtId="0">
      <sharedItems/>
    </cacheField>
    <cacheField name="Date" numFmtId="14">
      <sharedItems containsSemiMixedTypes="0" containsNonDate="0" containsDate="1" containsString="0" minDate="2024-01-03T00:00:00" maxDate="2024-12-31T00:00:00"/>
    </cacheField>
    <cacheField name="Product ID" numFmtId="0">
      <sharedItems/>
    </cacheField>
    <cacheField name="Product Name" numFmtId="0">
      <sharedItems/>
    </cacheField>
    <cacheField name="Category" numFmtId="0">
      <sharedItems count="6">
        <s v="Electronics"/>
        <s v="Furniture"/>
        <s v="Clothing"/>
        <s v="Food &amp; Beverages"/>
        <s v="Office Supplies"/>
        <s v="Industrial"/>
      </sharedItems>
    </cacheField>
    <cacheField name="Supplier" numFmtId="0">
      <sharedItems count="8">
        <s v="QuickSupply Co."/>
        <s v="GlobalTrade Ltd."/>
        <s v="FastTrack Logistics"/>
        <s v="PrimeSources Inc."/>
        <s v="NexGen Suppliers"/>
        <s v="EastWest Trading"/>
        <s v="ValueChain Corp."/>
        <s v="Apex Distributors"/>
      </sharedItems>
    </cacheField>
    <cacheField name="Warehouse" numFmtId="0">
      <sharedItems count="5">
        <s v="Warehouse A - Mumbai"/>
        <s v="Warehouse B - Delhi"/>
        <s v="Warehouse C - Chennai"/>
        <s v="Warehouse D - Kolkata"/>
        <s v="Warehouse E - Hyderabad"/>
      </sharedItems>
    </cacheField>
    <cacheField name="Region" numFmtId="0">
      <sharedItems count="4">
        <s v="West"/>
        <s v="North"/>
        <s v="South"/>
        <s v="East"/>
      </sharedItems>
    </cacheField>
    <cacheField name="Stock Quantity" numFmtId="164">
      <sharedItems containsSemiMixedTypes="0" containsString="0" containsNumber="1" containsInteger="1" minValue="8" maxValue="1000"/>
    </cacheField>
    <cacheField name="Reorder Level" numFmtId="164">
      <sharedItems containsSemiMixedTypes="0" containsString="0" containsNumber="1" containsInteger="1" minValue="5" maxValue="300"/>
    </cacheField>
    <cacheField name="Units Sold" numFmtId="164">
      <sharedItems containsSemiMixedTypes="0" containsString="0" containsNumber="1" containsInteger="1" minValue="2" maxValue="400"/>
    </cacheField>
    <cacheField name="Unit Price" numFmtId="165">
      <sharedItems containsSemiMixedTypes="0" containsString="0" containsNumber="1" containsInteger="1" minValue="40" maxValue="48000"/>
    </cacheField>
    <cacheField name="Lead Time (Days)" numFmtId="164">
      <sharedItems containsSemiMixedTypes="0" containsString="0" containsNumber="1" containsInteger="1" minValue="1" maxValue="18"/>
    </cacheField>
    <cacheField name="Total Revenue" numFmtId="165">
      <sharedItems containsSemiMixedTypes="0" containsString="0" containsNumber="1" containsInteger="1" minValue="13325" maxValue="1350000"/>
    </cacheField>
    <cacheField name="Stock Status" numFmtId="0">
      <sharedItems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extLst>
    <ext xmlns:x14="http://schemas.microsoft.com/office/spreadsheetml/2009/9/main" uri="{725AE2AE-9491-48be-B2B4-4EB974FC3084}">
      <x14:pivotCacheDefinition pivotCacheId="6977317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RD-1001"/>
    <d v="2024-01-03T00:00:00"/>
    <s v="PRD-101"/>
    <s v="Laptop"/>
    <s v="Electronics"/>
    <s v="QuickSupply Co."/>
    <x v="0"/>
    <s v="West"/>
    <n v="120"/>
    <n v="50"/>
    <n v="30"/>
    <n v="45000"/>
    <n v="7"/>
    <n v="1350000"/>
  </r>
  <r>
    <s v="ORD-1002"/>
    <d v="2024-01-05T00:00:00"/>
    <s v="PRD-102"/>
    <s v="Office Chair"/>
    <s v="Furniture"/>
    <s v="GlobalTrade Ltd."/>
    <x v="1"/>
    <s v="North"/>
    <n v="80"/>
    <n v="30"/>
    <n v="15"/>
    <n v="8500"/>
    <n v="10"/>
    <n v="127500"/>
  </r>
  <r>
    <s v="ORD-1003"/>
    <d v="2024-01-07T00:00:00"/>
    <s v="PRD-103"/>
    <s v="Winter Jacket"/>
    <s v="Clothing"/>
    <s v="FastTrack Logistics"/>
    <x v="2"/>
    <s v="South"/>
    <n v="200"/>
    <n v="60"/>
    <n v="45"/>
    <n v="3200"/>
    <n v="5"/>
    <n v="144000"/>
  </r>
  <r>
    <s v="ORD-1004"/>
    <d v="2024-01-09T00:00:00"/>
    <s v="PRD-104"/>
    <s v="Coffee Beans"/>
    <s v="Food &amp; Beverages"/>
    <s v="PrimeSources Inc."/>
    <x v="3"/>
    <s v="East"/>
    <n v="350"/>
    <n v="100"/>
    <n v="80"/>
    <n v="600"/>
    <n v="3"/>
    <n v="48000"/>
  </r>
  <r>
    <s v="ORD-1005"/>
    <d v="2024-01-12T00:00:00"/>
    <s v="PRD-105"/>
    <s v="A4 Paper Ream"/>
    <s v="Office Supplies"/>
    <s v="NexGen Suppliers"/>
    <x v="4"/>
    <s v="South"/>
    <n v="500"/>
    <n v="150"/>
    <n v="120"/>
    <n v="250"/>
    <n v="4"/>
    <n v="30000"/>
  </r>
  <r>
    <s v="ORD-1006"/>
    <d v="2024-01-15T00:00:00"/>
    <s v="PRD-106"/>
    <s v="Safety Helmet"/>
    <s v="Industrial"/>
    <s v="EastWest Trading"/>
    <x v="0"/>
    <s v="West"/>
    <n v="90"/>
    <n v="40"/>
    <n v="20"/>
    <n v="1200"/>
    <n v="8"/>
    <n v="24000"/>
  </r>
  <r>
    <s v="ORD-1007"/>
    <d v="2024-01-18T00:00:00"/>
    <s v="PRD-107"/>
    <s v="Smartphone"/>
    <s v="Electronics"/>
    <s v="QuickSupply Co."/>
    <x v="1"/>
    <s v="North"/>
    <n v="60"/>
    <n v="30"/>
    <n v="25"/>
    <n v="32000"/>
    <n v="6"/>
    <n v="800000"/>
  </r>
  <r>
    <s v="ORD-1008"/>
    <d v="2024-01-20T00:00:00"/>
    <s v="PRD-108"/>
    <s v="Standing Desk"/>
    <s v="Furniture"/>
    <s v="GlobalTrade Ltd."/>
    <x v="2"/>
    <s v="South"/>
    <n v="40"/>
    <n v="20"/>
    <n v="10"/>
    <n v="15000"/>
    <n v="12"/>
    <n v="150000"/>
  </r>
  <r>
    <s v="ORD-1009"/>
    <d v="2024-01-22T00:00:00"/>
    <s v="PRD-109"/>
    <s v="Sports Shoes"/>
    <s v="Clothing"/>
    <s v="FastTrack Logistics"/>
    <x v="3"/>
    <s v="East"/>
    <n v="150"/>
    <n v="50"/>
    <n v="35"/>
    <n v="2800"/>
    <n v="5"/>
    <n v="98000"/>
  </r>
  <r>
    <s v="ORD-1010"/>
    <d v="2024-01-25T00:00:00"/>
    <s v="PRD-110"/>
    <s v="Green Tea"/>
    <s v="Food &amp; Beverages"/>
    <s v="PrimeSources Inc."/>
    <x v="4"/>
    <s v="South"/>
    <n v="400"/>
    <n v="100"/>
    <n v="90"/>
    <n v="450"/>
    <n v="3"/>
    <n v="40500"/>
  </r>
  <r>
    <s v="ORD-1011"/>
    <d v="2024-02-01T00:00:00"/>
    <s v="PRD-111"/>
    <s v="Tablet"/>
    <s v="Electronics"/>
    <s v="ValueChain Corp."/>
    <x v="0"/>
    <s v="West"/>
    <n v="75"/>
    <n v="25"/>
    <n v="20"/>
    <n v="22000"/>
    <n v="7"/>
    <n v="440000"/>
  </r>
  <r>
    <s v="ORD-1012"/>
    <d v="2024-02-03T00:00:00"/>
    <s v="PRD-112"/>
    <s v="Bookshelf"/>
    <s v="Furniture"/>
    <s v="Apex Distributors"/>
    <x v="1"/>
    <s v="North"/>
    <n v="55"/>
    <n v="20"/>
    <n v="12"/>
    <n v="5500"/>
    <n v="9"/>
    <n v="66000"/>
  </r>
  <r>
    <s v="ORD-1013"/>
    <d v="2024-02-06T00:00:00"/>
    <s v="PRD-113"/>
    <s v="Formal Shirt"/>
    <s v="Clothing"/>
    <s v="NexGen Suppliers"/>
    <x v="2"/>
    <s v="South"/>
    <n v="180"/>
    <n v="60"/>
    <n v="40"/>
    <n v="1800"/>
    <n v="4"/>
    <n v="72000"/>
  </r>
  <r>
    <s v="ORD-1014"/>
    <d v="2024-02-08T00:00:00"/>
    <s v="PRD-114"/>
    <s v="Energy Drink"/>
    <s v="Food &amp; Beverages"/>
    <s v="EastWest Trading"/>
    <x v="3"/>
    <s v="East"/>
    <n v="600"/>
    <n v="200"/>
    <n v="150"/>
    <n v="120"/>
    <n v="2"/>
    <n v="18000"/>
  </r>
  <r>
    <s v="ORD-1015"/>
    <d v="2024-02-10T00:00:00"/>
    <s v="PRD-115"/>
    <s v="Ball Pen Set"/>
    <s v="Office Supplies"/>
    <s v="QuickSupply Co."/>
    <x v="4"/>
    <s v="South"/>
    <n v="800"/>
    <n v="200"/>
    <n v="300"/>
    <n v="80"/>
    <n v="2"/>
    <n v="24000"/>
  </r>
  <r>
    <s v="ORD-1016"/>
    <d v="2024-02-13T00:00:00"/>
    <s v="PRD-116"/>
    <s v="Work Gloves"/>
    <s v="Industrial"/>
    <s v="GlobalTrade Ltd."/>
    <x v="0"/>
    <s v="West"/>
    <n v="250"/>
    <n v="80"/>
    <n v="60"/>
    <n v="350"/>
    <n v="5"/>
    <n v="21000"/>
  </r>
  <r>
    <s v="ORD-1017"/>
    <d v="2024-02-15T00:00:00"/>
    <s v="PRD-117"/>
    <s v="Monitor"/>
    <s v="Electronics"/>
    <s v="FastTrack Logistics"/>
    <x v="1"/>
    <s v="North"/>
    <n v="45"/>
    <n v="20"/>
    <n v="18"/>
    <n v="18000"/>
    <n v="8"/>
    <n v="324000"/>
  </r>
  <r>
    <s v="ORD-1018"/>
    <d v="2024-02-18T00:00:00"/>
    <s v="PRD-118"/>
    <s v="Filing Cabinet"/>
    <s v="Furniture"/>
    <s v="PrimeSources Inc."/>
    <x v="2"/>
    <s v="South"/>
    <n v="30"/>
    <n v="15"/>
    <n v="8"/>
    <n v="7200"/>
    <n v="11"/>
    <n v="57600"/>
  </r>
  <r>
    <s v="ORD-1019"/>
    <d v="2024-02-20T00:00:00"/>
    <s v="PRD-119"/>
    <s v="Denim Jeans"/>
    <s v="Clothing"/>
    <s v="ValueChain Corp."/>
    <x v="3"/>
    <s v="East"/>
    <n v="220"/>
    <n v="70"/>
    <n v="55"/>
    <n v="2200"/>
    <n v="4"/>
    <n v="121000"/>
  </r>
  <r>
    <s v="ORD-1020"/>
    <d v="2024-02-22T00:00:00"/>
    <s v="PRD-120"/>
    <s v="Mineral Water"/>
    <s v="Food &amp; Beverages"/>
    <s v="Apex Distributors"/>
    <x v="4"/>
    <s v="South"/>
    <n v="1000"/>
    <n v="300"/>
    <n v="400"/>
    <n v="40"/>
    <n v="1"/>
    <n v="16000"/>
  </r>
  <r>
    <s v="ORD-1021"/>
    <d v="2024-03-01T00:00:00"/>
    <s v="PRD-121"/>
    <s v="Keyboard"/>
    <s v="Electronics"/>
    <s v="NexGen Suppliers"/>
    <x v="0"/>
    <s v="West"/>
    <n v="160"/>
    <n v="50"/>
    <n v="45"/>
    <n v="2500"/>
    <n v="5"/>
    <n v="112500"/>
  </r>
  <r>
    <s v="ORD-1022"/>
    <d v="2024-03-04T00:00:00"/>
    <s v="PRD-122"/>
    <s v="Sofa"/>
    <s v="Furniture"/>
    <s v="EastWest Trading"/>
    <x v="1"/>
    <s v="North"/>
    <n v="25"/>
    <n v="10"/>
    <n v="6"/>
    <n v="25000"/>
    <n v="15"/>
    <n v="150000"/>
  </r>
  <r>
    <s v="ORD-1023"/>
    <d v="2024-03-06T00:00:00"/>
    <s v="PRD-123"/>
    <s v="Polo T-Shirt"/>
    <s v="Clothing"/>
    <s v="QuickSupply Co."/>
    <x v="2"/>
    <s v="South"/>
    <n v="300"/>
    <n v="80"/>
    <n v="70"/>
    <n v="900"/>
    <n v="3"/>
    <n v="63000"/>
  </r>
  <r>
    <s v="ORD-1024"/>
    <d v="2024-03-09T00:00:00"/>
    <s v="PRD-124"/>
    <s v="Protein Bar"/>
    <s v="Food &amp; Beverages"/>
    <s v="GlobalTrade Ltd."/>
    <x v="3"/>
    <s v="East"/>
    <n v="450"/>
    <n v="120"/>
    <n v="110"/>
    <n v="180"/>
    <n v="2"/>
    <n v="19800"/>
  </r>
  <r>
    <s v="ORD-1025"/>
    <d v="2024-03-12T00:00:00"/>
    <s v="PRD-125"/>
    <s v="Stapler"/>
    <s v="Office Supplies"/>
    <s v="FastTrack Logistics"/>
    <x v="4"/>
    <s v="South"/>
    <n v="600"/>
    <n v="150"/>
    <n v="200"/>
    <n v="150"/>
    <n v="3"/>
    <n v="30000"/>
  </r>
  <r>
    <s v="ORD-1026"/>
    <d v="2024-03-15T00:00:00"/>
    <s v="PRD-126"/>
    <s v="Power Drill"/>
    <s v="Industrial"/>
    <s v="PrimeSources Inc."/>
    <x v="0"/>
    <s v="West"/>
    <n v="70"/>
    <n v="30"/>
    <n v="15"/>
    <n v="4500"/>
    <n v="7"/>
    <n v="67500"/>
  </r>
  <r>
    <s v="ORD-1027"/>
    <d v="2024-03-18T00:00:00"/>
    <s v="PRD-127"/>
    <s v="Headphones"/>
    <s v="Electronics"/>
    <s v="ValueChain Corp."/>
    <x v="1"/>
    <s v="North"/>
    <n v="110"/>
    <n v="40"/>
    <n v="30"/>
    <n v="3800"/>
    <n v="6"/>
    <n v="114000"/>
  </r>
  <r>
    <s v="ORD-1028"/>
    <d v="2024-03-20T00:00:00"/>
    <s v="PRD-128"/>
    <s v="Conference Table"/>
    <s v="Furniture"/>
    <s v="Apex Distributors"/>
    <x v="2"/>
    <s v="South"/>
    <n v="15"/>
    <n v="8"/>
    <n v="4"/>
    <n v="35000"/>
    <n v="18"/>
    <n v="140000"/>
  </r>
  <r>
    <s v="ORD-1029"/>
    <d v="2024-03-22T00:00:00"/>
    <s v="PRD-129"/>
    <s v="Blazer"/>
    <s v="Clothing"/>
    <s v="NexGen Suppliers"/>
    <x v="3"/>
    <s v="East"/>
    <n v="90"/>
    <n v="30"/>
    <n v="22"/>
    <n v="4500"/>
    <n v="5"/>
    <n v="99000"/>
  </r>
  <r>
    <s v="ORD-1030"/>
    <d v="2024-03-25T00:00:00"/>
    <s v="PRD-130"/>
    <s v="Instant Noodles"/>
    <s v="Food &amp; Beverages"/>
    <s v="EastWest Trading"/>
    <x v="4"/>
    <s v="South"/>
    <n v="700"/>
    <n v="200"/>
    <n v="250"/>
    <n v="60"/>
    <n v="1"/>
    <n v="15000"/>
  </r>
  <r>
    <s v="ORD-1031"/>
    <d v="2024-04-02T00:00:00"/>
    <s v="PRD-131"/>
    <s v="Webcam"/>
    <s v="Electronics"/>
    <s v="QuickSupply Co."/>
    <x v="0"/>
    <s v="West"/>
    <n v="85"/>
    <n v="30"/>
    <n v="20"/>
    <n v="2200"/>
    <n v="5"/>
    <n v="44000"/>
  </r>
  <r>
    <s v="ORD-1032"/>
    <d v="2024-04-05T00:00:00"/>
    <s v="PRD-132"/>
    <s v="Office Chair"/>
    <s v="Furniture"/>
    <s v="GlobalTrade Ltd."/>
    <x v="1"/>
    <s v="North"/>
    <n v="95"/>
    <n v="35"/>
    <n v="25"/>
    <n v="8800"/>
    <n v="10"/>
    <n v="220000"/>
  </r>
  <r>
    <s v="ORD-1033"/>
    <d v="2024-04-08T00:00:00"/>
    <s v="PRD-133"/>
    <s v="Winter Jacket"/>
    <s v="Clothing"/>
    <s v="FastTrack Logistics"/>
    <x v="2"/>
    <s v="South"/>
    <n v="130"/>
    <n v="50"/>
    <n v="30"/>
    <n v="3400"/>
    <n v="5"/>
    <n v="102000"/>
  </r>
  <r>
    <s v="ORD-1034"/>
    <d v="2024-04-10T00:00:00"/>
    <s v="PRD-134"/>
    <s v="Coffee Beans"/>
    <s v="Food &amp; Beverages"/>
    <s v="PrimeSources Inc."/>
    <x v="3"/>
    <s v="East"/>
    <n v="280"/>
    <n v="90"/>
    <n v="70"/>
    <n v="620"/>
    <n v="3"/>
    <n v="43400"/>
  </r>
  <r>
    <s v="ORD-1035"/>
    <d v="2024-04-13T00:00:00"/>
    <s v="PRD-135"/>
    <s v="Whiteboard Marker"/>
    <s v="Office Supplies"/>
    <s v="ValueChain Corp."/>
    <x v="4"/>
    <s v="South"/>
    <n v="450"/>
    <n v="120"/>
    <n v="180"/>
    <n v="90"/>
    <n v="2"/>
    <n v="16200"/>
  </r>
  <r>
    <s v="ORD-1036"/>
    <d v="2024-04-16T00:00:00"/>
    <s v="PRD-136"/>
    <s v="Safety Boots"/>
    <s v="Industrial"/>
    <s v="Apex Distributors"/>
    <x v="0"/>
    <s v="West"/>
    <n v="60"/>
    <n v="25"/>
    <n v="12"/>
    <n v="2800"/>
    <n v="7"/>
    <n v="33600"/>
  </r>
  <r>
    <s v="ORD-1037"/>
    <d v="2024-04-18T00:00:00"/>
    <s v="PRD-137"/>
    <s v="Router"/>
    <s v="Electronics"/>
    <s v="NexGen Suppliers"/>
    <x v="1"/>
    <s v="North"/>
    <n v="140"/>
    <n v="45"/>
    <n v="35"/>
    <n v="3500"/>
    <n v="5"/>
    <n v="122500"/>
  </r>
  <r>
    <s v="ORD-1038"/>
    <d v="2024-04-20T00:00:00"/>
    <s v="PRD-138"/>
    <s v="Standing Desk"/>
    <s v="Furniture"/>
    <s v="EastWest Trading"/>
    <x v="2"/>
    <s v="South"/>
    <n v="50"/>
    <n v="22"/>
    <n v="14"/>
    <n v="16000"/>
    <n v="12"/>
    <n v="224000"/>
  </r>
  <r>
    <s v="ORD-1039"/>
    <d v="2024-04-23T00:00:00"/>
    <s v="PRD-139"/>
    <s v="Sports Shoes"/>
    <s v="Clothing"/>
    <s v="QuickSupply Co."/>
    <x v="3"/>
    <s v="East"/>
    <n v="175"/>
    <n v="55"/>
    <n v="40"/>
    <n v="2900"/>
    <n v="5"/>
    <n v="116000"/>
  </r>
  <r>
    <s v="ORD-1040"/>
    <d v="2024-04-25T00:00:00"/>
    <s v="PRD-140"/>
    <s v="Green Tea"/>
    <s v="Food &amp; Beverages"/>
    <s v="GlobalTrade Ltd."/>
    <x v="4"/>
    <s v="South"/>
    <n v="380"/>
    <n v="100"/>
    <n v="85"/>
    <n v="460"/>
    <n v="3"/>
    <n v="39100"/>
  </r>
  <r>
    <s v="ORD-1041"/>
    <d v="2024-05-02T00:00:00"/>
    <s v="PRD-141"/>
    <s v="Laptop"/>
    <s v="Electronics"/>
    <s v="FastTrack Logistics"/>
    <x v="0"/>
    <s v="West"/>
    <n v="100"/>
    <n v="45"/>
    <n v="28"/>
    <n v="46000"/>
    <n v="7"/>
    <n v="1288000"/>
  </r>
  <r>
    <s v="ORD-1042"/>
    <d v="2024-05-05T00:00:00"/>
    <s v="PRD-142"/>
    <s v="Bookshelf"/>
    <s v="Furniture"/>
    <s v="PrimeSources Inc."/>
    <x v="1"/>
    <s v="North"/>
    <n v="65"/>
    <n v="22"/>
    <n v="16"/>
    <n v="5800"/>
    <n v="9"/>
    <n v="92800"/>
  </r>
  <r>
    <s v="ORD-1043"/>
    <d v="2024-05-08T00:00:00"/>
    <s v="PRD-143"/>
    <s v="Formal Shirt"/>
    <s v="Clothing"/>
    <s v="ValueChain Corp."/>
    <x v="2"/>
    <s v="South"/>
    <n v="200"/>
    <n v="65"/>
    <n v="48"/>
    <n v="1900"/>
    <n v="4"/>
    <n v="91200"/>
  </r>
  <r>
    <s v="ORD-1044"/>
    <d v="2024-05-10T00:00:00"/>
    <s v="PRD-144"/>
    <s v="Energy Drink"/>
    <s v="Food &amp; Beverages"/>
    <s v="Apex Distributors"/>
    <x v="3"/>
    <s v="East"/>
    <n v="550"/>
    <n v="180"/>
    <n v="140"/>
    <n v="125"/>
    <n v="2"/>
    <n v="17500"/>
  </r>
  <r>
    <s v="ORD-1045"/>
    <d v="2024-05-14T00:00:00"/>
    <s v="PRD-145"/>
    <s v="Tape Dispenser"/>
    <s v="Office Supplies"/>
    <s v="NexGen Suppliers"/>
    <x v="4"/>
    <s v="South"/>
    <n v="350"/>
    <n v="100"/>
    <n v="120"/>
    <n v="120"/>
    <n v="2"/>
    <n v="14400"/>
  </r>
  <r>
    <s v="ORD-1046"/>
    <d v="2024-05-16T00:00:00"/>
    <s v="PRD-146"/>
    <s v="Welding Mask"/>
    <s v="Industrial"/>
    <s v="EastWest Trading"/>
    <x v="0"/>
    <s v="West"/>
    <n v="40"/>
    <n v="18"/>
    <n v="8"/>
    <n v="3200"/>
    <n v="8"/>
    <n v="25600"/>
  </r>
  <r>
    <s v="ORD-1047"/>
    <d v="2024-05-19T00:00:00"/>
    <s v="PRD-147"/>
    <s v="Smartphone"/>
    <s v="Electronics"/>
    <s v="QuickSupply Co."/>
    <x v="1"/>
    <s v="North"/>
    <n v="55"/>
    <n v="28"/>
    <n v="22"/>
    <n v="33000"/>
    <n v="6"/>
    <n v="726000"/>
  </r>
  <r>
    <s v="ORD-1048"/>
    <d v="2024-05-22T00:00:00"/>
    <s v="PRD-148"/>
    <s v="Filing Cabinet"/>
    <s v="Furniture"/>
    <s v="GlobalTrade Ltd."/>
    <x v="2"/>
    <s v="South"/>
    <n v="35"/>
    <n v="16"/>
    <n v="9"/>
    <n v="7400"/>
    <n v="11"/>
    <n v="66600"/>
  </r>
  <r>
    <s v="ORD-1049"/>
    <d v="2024-05-24T00:00:00"/>
    <s v="PRD-149"/>
    <s v="Denim Jeans"/>
    <s v="Clothing"/>
    <s v="FastTrack Logistics"/>
    <x v="3"/>
    <s v="East"/>
    <n v="240"/>
    <n v="72"/>
    <n v="58"/>
    <n v="2300"/>
    <n v="4"/>
    <n v="133400"/>
  </r>
  <r>
    <s v="ORD-1050"/>
    <d v="2024-05-27T00:00:00"/>
    <s v="PRD-150"/>
    <s v="Mineral Water"/>
    <s v="Food &amp; Beverages"/>
    <s v="PrimeSources Inc."/>
    <x v="4"/>
    <s v="South"/>
    <n v="950"/>
    <n v="280"/>
    <n v="380"/>
    <n v="42"/>
    <n v="1"/>
    <n v="15960"/>
  </r>
  <r>
    <s v="ORD-1051"/>
    <d v="2024-06-03T00:00:00"/>
    <s v="PRD-151"/>
    <s v="Tablet"/>
    <s v="Electronics"/>
    <s v="ValueChain Corp."/>
    <x v="0"/>
    <s v="West"/>
    <n v="70"/>
    <n v="24"/>
    <n v="18"/>
    <n v="23000"/>
    <n v="7"/>
    <n v="414000"/>
  </r>
  <r>
    <s v="ORD-1052"/>
    <d v="2024-06-06T00:00:00"/>
    <s v="PRD-152"/>
    <s v="Sofa"/>
    <s v="Furniture"/>
    <s v="Apex Distributors"/>
    <x v="1"/>
    <s v="North"/>
    <n v="20"/>
    <n v="9"/>
    <n v="5"/>
    <n v="26000"/>
    <n v="15"/>
    <n v="130000"/>
  </r>
  <r>
    <s v="ORD-1053"/>
    <d v="2024-06-09T00:00:00"/>
    <s v="PRD-153"/>
    <s v="Polo T-Shirt"/>
    <s v="Clothing"/>
    <s v="NexGen Suppliers"/>
    <x v="2"/>
    <s v="South"/>
    <n v="320"/>
    <n v="85"/>
    <n v="75"/>
    <n v="950"/>
    <n v="3"/>
    <n v="71250"/>
  </r>
  <r>
    <s v="ORD-1054"/>
    <d v="2024-06-12T00:00:00"/>
    <s v="PRD-154"/>
    <s v="Protein Bar"/>
    <s v="Food &amp; Beverages"/>
    <s v="EastWest Trading"/>
    <x v="3"/>
    <s v="East"/>
    <n v="420"/>
    <n v="115"/>
    <n v="105"/>
    <n v="185"/>
    <n v="2"/>
    <n v="19425"/>
  </r>
  <r>
    <s v="ORD-1055"/>
    <d v="2024-06-15T00:00:00"/>
    <s v="PRD-155"/>
    <s v="Scissors"/>
    <s v="Office Supplies"/>
    <s v="QuickSupply Co."/>
    <x v="4"/>
    <s v="South"/>
    <n v="500"/>
    <n v="130"/>
    <n v="160"/>
    <n v="110"/>
    <n v="2"/>
    <n v="17600"/>
  </r>
  <r>
    <s v="ORD-1056"/>
    <d v="2024-06-18T00:00:00"/>
    <s v="PRD-156"/>
    <s v="Tool Kit"/>
    <s v="Industrial"/>
    <s v="GlobalTrade Ltd."/>
    <x v="0"/>
    <s v="West"/>
    <n v="55"/>
    <n v="22"/>
    <n v="10"/>
    <n v="5500"/>
    <n v="8"/>
    <n v="55000"/>
  </r>
  <r>
    <s v="ORD-1057"/>
    <d v="2024-06-20T00:00:00"/>
    <s v="PRD-157"/>
    <s v="Monitor"/>
    <s v="Electronics"/>
    <s v="FastTrack Logistics"/>
    <x v="1"/>
    <s v="North"/>
    <n v="42"/>
    <n v="19"/>
    <n v="16"/>
    <n v="18500"/>
    <n v="8"/>
    <n v="296000"/>
  </r>
  <r>
    <s v="ORD-1058"/>
    <d v="2024-06-23T00:00:00"/>
    <s v="PRD-158"/>
    <s v="Conference Table"/>
    <s v="Furniture"/>
    <s v="PrimeSources Inc."/>
    <x v="2"/>
    <s v="South"/>
    <n v="12"/>
    <n v="7"/>
    <n v="3"/>
    <n v="36000"/>
    <n v="18"/>
    <n v="108000"/>
  </r>
  <r>
    <s v="ORD-1059"/>
    <d v="2024-06-25T00:00:00"/>
    <s v="PRD-159"/>
    <s v="Blazer"/>
    <s v="Clothing"/>
    <s v="ValueChain Corp."/>
    <x v="3"/>
    <s v="East"/>
    <n v="100"/>
    <n v="32"/>
    <n v="24"/>
    <n v="4600"/>
    <n v="5"/>
    <n v="110400"/>
  </r>
  <r>
    <s v="ORD-1060"/>
    <d v="2024-06-28T00:00:00"/>
    <s v="PRD-160"/>
    <s v="Instant Noodles"/>
    <s v="Food &amp; Beverages"/>
    <s v="Apex Distributors"/>
    <x v="4"/>
    <s v="South"/>
    <n v="650"/>
    <n v="195"/>
    <n v="230"/>
    <n v="62"/>
    <n v="1"/>
    <n v="14260"/>
  </r>
  <r>
    <s v="ORD-1061"/>
    <d v="2024-07-02T00:00:00"/>
    <s v="PRD-161"/>
    <s v="Keyboard"/>
    <s v="Electronics"/>
    <s v="NexGen Suppliers"/>
    <x v="0"/>
    <s v="West"/>
    <n v="170"/>
    <n v="52"/>
    <n v="48"/>
    <n v="2600"/>
    <n v="5"/>
    <n v="124800"/>
  </r>
  <r>
    <s v="ORD-1062"/>
    <d v="2024-07-05T00:00:00"/>
    <s v="PRD-162"/>
    <s v="Office Chair"/>
    <s v="Furniture"/>
    <s v="EastWest Trading"/>
    <x v="1"/>
    <s v="North"/>
    <n v="88"/>
    <n v="33"/>
    <n v="20"/>
    <n v="9000"/>
    <n v="10"/>
    <n v="180000"/>
  </r>
  <r>
    <s v="ORD-1063"/>
    <d v="2024-07-08T00:00:00"/>
    <s v="PRD-163"/>
    <s v="Winter Jacket"/>
    <s v="Clothing"/>
    <s v="QuickSupply Co."/>
    <x v="2"/>
    <s v="South"/>
    <n v="140"/>
    <n v="52"/>
    <n v="32"/>
    <n v="3500"/>
    <n v="5"/>
    <n v="112000"/>
  </r>
  <r>
    <s v="ORD-1064"/>
    <d v="2024-07-11T00:00:00"/>
    <s v="PRD-164"/>
    <s v="Coffee Beans"/>
    <s v="Food &amp; Beverages"/>
    <s v="GlobalTrade Ltd."/>
    <x v="3"/>
    <s v="East"/>
    <n v="260"/>
    <n v="88"/>
    <n v="65"/>
    <n v="630"/>
    <n v="3"/>
    <n v="40950"/>
  </r>
  <r>
    <s v="ORD-1065"/>
    <d v="2024-07-14T00:00:00"/>
    <s v="PRD-165"/>
    <s v="A4 Paper Ream"/>
    <s v="Office Supplies"/>
    <s v="FastTrack Logistics"/>
    <x v="4"/>
    <s v="South"/>
    <n v="480"/>
    <n v="145"/>
    <n v="115"/>
    <n v="255"/>
    <n v="4"/>
    <n v="29325"/>
  </r>
  <r>
    <s v="ORD-1066"/>
    <d v="2024-07-17T00:00:00"/>
    <s v="PRD-166"/>
    <s v="Safety Helmet"/>
    <s v="Industrial"/>
    <s v="PrimeSources Inc."/>
    <x v="0"/>
    <s v="West"/>
    <n v="85"/>
    <n v="38"/>
    <n v="18"/>
    <n v="1250"/>
    <n v="8"/>
    <n v="22500"/>
  </r>
  <r>
    <s v="ORD-1067"/>
    <d v="2024-07-19T00:00:00"/>
    <s v="PRD-167"/>
    <s v="Webcam"/>
    <s v="Electronics"/>
    <s v="ValueChain Corp."/>
    <x v="1"/>
    <s v="North"/>
    <n v="90"/>
    <n v="32"/>
    <n v="22"/>
    <n v="2300"/>
    <n v="5"/>
    <n v="50600"/>
  </r>
  <r>
    <s v="ORD-1068"/>
    <d v="2024-07-22T00:00:00"/>
    <s v="PRD-168"/>
    <s v="Bookshelf"/>
    <s v="Furniture"/>
    <s v="Apex Distributors"/>
    <x v="2"/>
    <s v="South"/>
    <n v="58"/>
    <n v="21"/>
    <n v="13"/>
    <n v="5700"/>
    <n v="9"/>
    <n v="74100"/>
  </r>
  <r>
    <s v="ORD-1069"/>
    <d v="2024-07-25T00:00:00"/>
    <s v="PRD-169"/>
    <s v="Sports Shoes"/>
    <s v="Clothing"/>
    <s v="NexGen Suppliers"/>
    <x v="3"/>
    <s v="East"/>
    <n v="160"/>
    <n v="52"/>
    <n v="38"/>
    <n v="2950"/>
    <n v="5"/>
    <n v="112100"/>
  </r>
  <r>
    <s v="ORD-1070"/>
    <d v="2024-07-28T00:00:00"/>
    <s v="PRD-170"/>
    <s v="Green Tea"/>
    <s v="Food &amp; Beverages"/>
    <s v="EastWest Trading"/>
    <x v="4"/>
    <s v="South"/>
    <n v="360"/>
    <n v="98"/>
    <n v="80"/>
    <n v="470"/>
    <n v="3"/>
    <n v="37600"/>
  </r>
  <r>
    <s v="ORD-1071"/>
    <d v="2024-08-01T00:00:00"/>
    <s v="PRD-171"/>
    <s v="Router"/>
    <s v="Electronics"/>
    <s v="QuickSupply Co."/>
    <x v="0"/>
    <s v="West"/>
    <n v="130"/>
    <n v="43"/>
    <n v="32"/>
    <n v="3600"/>
    <n v="5"/>
    <n v="115200"/>
  </r>
  <r>
    <s v="ORD-1072"/>
    <d v="2024-08-05T00:00:00"/>
    <s v="PRD-172"/>
    <s v="Standing Desk"/>
    <s v="Furniture"/>
    <s v="GlobalTrade Ltd."/>
    <x v="1"/>
    <s v="North"/>
    <n v="45"/>
    <n v="20"/>
    <n v="11"/>
    <n v="16500"/>
    <n v="12"/>
    <n v="181500"/>
  </r>
  <r>
    <s v="ORD-1073"/>
    <d v="2024-08-08T00:00:00"/>
    <s v="PRD-173"/>
    <s v="Formal Shirt"/>
    <s v="Clothing"/>
    <s v="FastTrack Logistics"/>
    <x v="2"/>
    <s v="South"/>
    <n v="190"/>
    <n v="62"/>
    <n v="44"/>
    <n v="1950"/>
    <n v="4"/>
    <n v="85800"/>
  </r>
  <r>
    <s v="ORD-1074"/>
    <d v="2024-08-12T00:00:00"/>
    <s v="PRD-174"/>
    <s v="Energy Drink"/>
    <s v="Food &amp; Beverages"/>
    <s v="PrimeSources Inc."/>
    <x v="3"/>
    <s v="East"/>
    <n v="520"/>
    <n v="175"/>
    <n v="135"/>
    <n v="128"/>
    <n v="2"/>
    <n v="17280"/>
  </r>
  <r>
    <s v="ORD-1075"/>
    <d v="2024-08-15T00:00:00"/>
    <s v="PRD-175"/>
    <s v="Ball Pen Set"/>
    <s v="Office Supplies"/>
    <s v="ValueChain Corp."/>
    <x v="4"/>
    <s v="South"/>
    <n v="750"/>
    <n v="190"/>
    <n v="280"/>
    <n v="82"/>
    <n v="2"/>
    <n v="22960"/>
  </r>
  <r>
    <s v="ORD-1076"/>
    <d v="2024-08-18T00:00:00"/>
    <s v="PRD-176"/>
    <s v="Power Drill"/>
    <s v="Industrial"/>
    <s v="Apex Distributors"/>
    <x v="0"/>
    <s v="West"/>
    <n v="65"/>
    <n v="28"/>
    <n v="14"/>
    <n v="4600"/>
    <n v="7"/>
    <n v="64400"/>
  </r>
  <r>
    <s v="ORD-1077"/>
    <d v="2024-08-21T00:00:00"/>
    <s v="PRD-177"/>
    <s v="Laptop"/>
    <s v="Electronics"/>
    <s v="NexGen Suppliers"/>
    <x v="1"/>
    <s v="North"/>
    <n v="95"/>
    <n v="42"/>
    <n v="26"/>
    <n v="47000"/>
    <n v="7"/>
    <n v="1222000"/>
  </r>
  <r>
    <s v="ORD-1078"/>
    <d v="2024-08-24T00:00:00"/>
    <s v="PRD-178"/>
    <s v="Sofa"/>
    <s v="Furniture"/>
    <s v="EastWest Trading"/>
    <x v="2"/>
    <s v="South"/>
    <n v="18"/>
    <n v="8"/>
    <n v="4"/>
    <n v="27000"/>
    <n v="15"/>
    <n v="108000"/>
  </r>
  <r>
    <s v="ORD-1079"/>
    <d v="2024-08-27T00:00:00"/>
    <s v="PRD-179"/>
    <s v="Polo T-Shirt"/>
    <s v="Clothing"/>
    <s v="QuickSupply Co."/>
    <x v="3"/>
    <s v="East"/>
    <n v="295"/>
    <n v="82"/>
    <n v="68"/>
    <n v="980"/>
    <n v="3"/>
    <n v="66640"/>
  </r>
  <r>
    <s v="ORD-1080"/>
    <d v="2024-08-29T00:00:00"/>
    <s v="PRD-180"/>
    <s v="Mineral Water"/>
    <s v="Food &amp; Beverages"/>
    <s v="GlobalTrade Ltd."/>
    <x v="4"/>
    <s v="South"/>
    <n v="900"/>
    <n v="275"/>
    <n v="360"/>
    <n v="44"/>
    <n v="1"/>
    <n v="15840"/>
  </r>
  <r>
    <s v="ORD-1081"/>
    <d v="2024-09-02T00:00:00"/>
    <s v="PRD-181"/>
    <s v="Headphones"/>
    <s v="Electronics"/>
    <s v="FastTrack Logistics"/>
    <x v="0"/>
    <s v="West"/>
    <n v="105"/>
    <n v="38"/>
    <n v="28"/>
    <n v="3900"/>
    <n v="6"/>
    <n v="109200"/>
  </r>
  <r>
    <s v="ORD-1082"/>
    <d v="2024-09-05T00:00:00"/>
    <s v="PRD-182"/>
    <s v="Filing Cabinet"/>
    <s v="Furniture"/>
    <s v="PrimeSources Inc."/>
    <x v="1"/>
    <s v="North"/>
    <n v="32"/>
    <n v="14"/>
    <n v="7"/>
    <n v="7600"/>
    <n v="11"/>
    <n v="53200"/>
  </r>
  <r>
    <s v="ORD-1083"/>
    <d v="2024-09-09T00:00:00"/>
    <s v="PRD-183"/>
    <s v="Denim Jeans"/>
    <s v="Clothing"/>
    <s v="ValueChain Corp."/>
    <x v="2"/>
    <s v="South"/>
    <n v="230"/>
    <n v="68"/>
    <n v="52"/>
    <n v="2350"/>
    <n v="4"/>
    <n v="122200"/>
  </r>
  <r>
    <s v="ORD-1084"/>
    <d v="2024-09-12T00:00:00"/>
    <s v="PRD-184"/>
    <s v="Protein Bar"/>
    <s v="Food &amp; Beverages"/>
    <s v="Apex Distributors"/>
    <x v="3"/>
    <s v="East"/>
    <n v="390"/>
    <n v="112"/>
    <n v="98"/>
    <n v="188"/>
    <n v="2"/>
    <n v="18424"/>
  </r>
  <r>
    <s v="ORD-1085"/>
    <d v="2024-09-15T00:00:00"/>
    <s v="PRD-185"/>
    <s v="Stapler"/>
    <s v="Office Supplies"/>
    <s v="NexGen Suppliers"/>
    <x v="4"/>
    <s v="South"/>
    <n v="580"/>
    <n v="148"/>
    <n v="195"/>
    <n v="152"/>
    <n v="3"/>
    <n v="29640"/>
  </r>
  <r>
    <s v="ORD-1086"/>
    <d v="2024-09-18T00:00:00"/>
    <s v="PRD-186"/>
    <s v="Work Gloves"/>
    <s v="Industrial"/>
    <s v="EastWest Trading"/>
    <x v="0"/>
    <s v="West"/>
    <n v="240"/>
    <n v="78"/>
    <n v="55"/>
    <n v="360"/>
    <n v="5"/>
    <n v="19800"/>
  </r>
  <r>
    <s v="ORD-1087"/>
    <d v="2024-09-21T00:00:00"/>
    <s v="PRD-187"/>
    <s v="Smartphone"/>
    <s v="Electronics"/>
    <s v="QuickSupply Co."/>
    <x v="1"/>
    <s v="North"/>
    <n v="50"/>
    <n v="26"/>
    <n v="20"/>
    <n v="34000"/>
    <n v="6"/>
    <n v="680000"/>
  </r>
  <r>
    <s v="ORD-1088"/>
    <d v="2024-09-24T00:00:00"/>
    <s v="PRD-188"/>
    <s v="Conference Table"/>
    <s v="Furniture"/>
    <s v="GlobalTrade Ltd."/>
    <x v="2"/>
    <s v="South"/>
    <n v="10"/>
    <n v="6"/>
    <n v="2"/>
    <n v="37000"/>
    <n v="18"/>
    <n v="74000"/>
  </r>
  <r>
    <s v="ORD-1089"/>
    <d v="2024-09-27T00:00:00"/>
    <s v="PRD-189"/>
    <s v="Blazer"/>
    <s v="Clothing"/>
    <s v="FastTrack Logistics"/>
    <x v="3"/>
    <s v="East"/>
    <n v="108"/>
    <n v="34"/>
    <n v="26"/>
    <n v="4700"/>
    <n v="5"/>
    <n v="122200"/>
  </r>
  <r>
    <s v="ORD-1090"/>
    <d v="2024-09-30T00:00:00"/>
    <s v="PRD-190"/>
    <s v="Instant Noodles"/>
    <s v="Food &amp; Beverages"/>
    <s v="PrimeSources Inc."/>
    <x v="4"/>
    <s v="South"/>
    <n v="620"/>
    <n v="190"/>
    <n v="220"/>
    <n v="64"/>
    <n v="1"/>
    <n v="14080"/>
  </r>
  <r>
    <s v="ORD-1091"/>
    <d v="2024-10-03T00:00:00"/>
    <s v="PRD-191"/>
    <s v="Tablet"/>
    <s v="Electronics"/>
    <s v="ValueChain Corp."/>
    <x v="0"/>
    <s v="West"/>
    <n v="68"/>
    <n v="23"/>
    <n v="16"/>
    <n v="24000"/>
    <n v="7"/>
    <n v="384000"/>
  </r>
  <r>
    <s v="ORD-1092"/>
    <d v="2024-10-07T00:00:00"/>
    <s v="PRD-192"/>
    <s v="Office Chair"/>
    <s v="Furniture"/>
    <s v="Apex Distributors"/>
    <x v="1"/>
    <s v="North"/>
    <n v="92"/>
    <n v="34"/>
    <n v="22"/>
    <n v="9200"/>
    <n v="10"/>
    <n v="202400"/>
  </r>
  <r>
    <s v="ORD-1093"/>
    <d v="2024-10-10T00:00:00"/>
    <s v="PRD-193"/>
    <s v="Winter Jacket"/>
    <s v="Clothing"/>
    <s v="NexGen Suppliers"/>
    <x v="2"/>
    <s v="South"/>
    <n v="155"/>
    <n v="55"/>
    <n v="36"/>
    <n v="3600"/>
    <n v="5"/>
    <n v="129600"/>
  </r>
  <r>
    <s v="ORD-1094"/>
    <d v="2024-10-14T00:00:00"/>
    <s v="PRD-194"/>
    <s v="Coffee Beans"/>
    <s v="Food &amp; Beverages"/>
    <s v="EastWest Trading"/>
    <x v="3"/>
    <s v="East"/>
    <n v="240"/>
    <n v="85"/>
    <n v="60"/>
    <n v="640"/>
    <n v="3"/>
    <n v="38400"/>
  </r>
  <r>
    <s v="ORD-1095"/>
    <d v="2024-10-17T00:00:00"/>
    <s v="PRD-195"/>
    <s v="Whiteboard Marker"/>
    <s v="Office Supplies"/>
    <s v="QuickSupply Co."/>
    <x v="4"/>
    <s v="South"/>
    <n v="420"/>
    <n v="118"/>
    <n v="165"/>
    <n v="92"/>
    <n v="2"/>
    <n v="15180"/>
  </r>
  <r>
    <s v="ORD-1096"/>
    <d v="2024-10-20T00:00:00"/>
    <s v="PRD-196"/>
    <s v="Safety Boots"/>
    <s v="Industrial"/>
    <s v="GlobalTrade Ltd."/>
    <x v="0"/>
    <s v="West"/>
    <n v="55"/>
    <n v="23"/>
    <n v="10"/>
    <n v="2900"/>
    <n v="7"/>
    <n v="29000"/>
  </r>
  <r>
    <s v="ORD-1097"/>
    <d v="2024-10-23T00:00:00"/>
    <s v="PRD-197"/>
    <s v="Monitor"/>
    <s v="Electronics"/>
    <s v="FastTrack Logistics"/>
    <x v="1"/>
    <s v="North"/>
    <n v="40"/>
    <n v="18"/>
    <n v="14"/>
    <n v="19000"/>
    <n v="8"/>
    <n v="266000"/>
  </r>
  <r>
    <s v="ORD-1098"/>
    <d v="2024-10-26T00:00:00"/>
    <s v="PRD-198"/>
    <s v="Bookshelf"/>
    <s v="Furniture"/>
    <s v="PrimeSources Inc."/>
    <x v="2"/>
    <s v="South"/>
    <n v="62"/>
    <n v="23"/>
    <n v="15"/>
    <n v="5900"/>
    <n v="9"/>
    <n v="88500"/>
  </r>
  <r>
    <s v="ORD-1099"/>
    <d v="2024-10-29T00:00:00"/>
    <s v="PRD-199"/>
    <s v="Sports Shoes"/>
    <s v="Clothing"/>
    <s v="ValueChain Corp."/>
    <x v="3"/>
    <s v="East"/>
    <n v="145"/>
    <n v="50"/>
    <n v="34"/>
    <n v="3000"/>
    <n v="5"/>
    <n v="102000"/>
  </r>
  <r>
    <s v="ORD-1100"/>
    <d v="2024-10-31T00:00:00"/>
    <s v="PRD-200"/>
    <s v="Green Tea"/>
    <s v="Food &amp; Beverages"/>
    <s v="Apex Distributors"/>
    <x v="4"/>
    <s v="South"/>
    <n v="340"/>
    <n v="95"/>
    <n v="75"/>
    <n v="480"/>
    <n v="3"/>
    <n v="36000"/>
  </r>
  <r>
    <s v="ORD-1101"/>
    <d v="2024-11-04T00:00:00"/>
    <s v="PRD-201"/>
    <s v="Keyboard"/>
    <s v="Electronics"/>
    <s v="NexGen Suppliers"/>
    <x v="0"/>
    <s v="West"/>
    <n v="155"/>
    <n v="48"/>
    <n v="42"/>
    <n v="2700"/>
    <n v="5"/>
    <n v="113400"/>
  </r>
  <r>
    <s v="ORD-1102"/>
    <d v="2024-11-07T00:00:00"/>
    <s v="PRD-202"/>
    <s v="Sofa"/>
    <s v="Furniture"/>
    <s v="EastWest Trading"/>
    <x v="1"/>
    <s v="North"/>
    <n v="22"/>
    <n v="10"/>
    <n v="6"/>
    <n v="28000"/>
    <n v="15"/>
    <n v="168000"/>
  </r>
  <r>
    <s v="ORD-1103"/>
    <d v="2024-11-10T00:00:00"/>
    <s v="PRD-203"/>
    <s v="Formal Shirt"/>
    <s v="Clothing"/>
    <s v="QuickSupply Co."/>
    <x v="2"/>
    <s v="South"/>
    <n v="210"/>
    <n v="68"/>
    <n v="50"/>
    <n v="2000"/>
    <n v="4"/>
    <n v="100000"/>
  </r>
  <r>
    <s v="ORD-1104"/>
    <d v="2024-11-13T00:00:00"/>
    <s v="PRD-204"/>
    <s v="Energy Drink"/>
    <s v="Food &amp; Beverages"/>
    <s v="GlobalTrade Ltd."/>
    <x v="3"/>
    <s v="East"/>
    <n v="490"/>
    <n v="168"/>
    <n v="128"/>
    <n v="132"/>
    <n v="2"/>
    <n v="16896"/>
  </r>
  <r>
    <s v="ORD-1105"/>
    <d v="2024-11-16T00:00:00"/>
    <s v="PRD-205"/>
    <s v="Tape Dispenser"/>
    <s v="Office Supplies"/>
    <s v="FastTrack Logistics"/>
    <x v="4"/>
    <s v="South"/>
    <n v="320"/>
    <n v="98"/>
    <n v="112"/>
    <n v="122"/>
    <n v="2"/>
    <n v="13664"/>
  </r>
  <r>
    <s v="ORD-1106"/>
    <d v="2024-11-19T00:00:00"/>
    <s v="PRD-206"/>
    <s v="Welding Mask"/>
    <s v="Industrial"/>
    <s v="PrimeSources Inc."/>
    <x v="0"/>
    <s v="West"/>
    <n v="38"/>
    <n v="16"/>
    <n v="7"/>
    <n v="3300"/>
    <n v="8"/>
    <n v="23100"/>
  </r>
  <r>
    <s v="ORD-1107"/>
    <d v="2024-11-22T00:00:00"/>
    <s v="PRD-207"/>
    <s v="Webcam"/>
    <s v="Electronics"/>
    <s v="ValueChain Corp."/>
    <x v="1"/>
    <s v="North"/>
    <n v="95"/>
    <n v="35"/>
    <n v="25"/>
    <n v="2400"/>
    <n v="5"/>
    <n v="60000"/>
  </r>
  <r>
    <s v="ORD-1108"/>
    <d v="2024-11-25T00:00:00"/>
    <s v="PRD-208"/>
    <s v="Standing Desk"/>
    <s v="Furniture"/>
    <s v="Apex Distributors"/>
    <x v="2"/>
    <s v="South"/>
    <n v="48"/>
    <n v="21"/>
    <n v="12"/>
    <n v="17000"/>
    <n v="12"/>
    <n v="204000"/>
  </r>
  <r>
    <s v="ORD-1109"/>
    <d v="2024-11-28T00:00:00"/>
    <s v="PRD-209"/>
    <s v="Denim Jeans"/>
    <s v="Clothing"/>
    <s v="NexGen Suppliers"/>
    <x v="3"/>
    <s v="East"/>
    <n v="255"/>
    <n v="75"/>
    <n v="62"/>
    <n v="2400"/>
    <n v="4"/>
    <n v="148800"/>
  </r>
  <r>
    <s v="ORD-1110"/>
    <d v="2024-11-30T00:00:00"/>
    <s v="PRD-210"/>
    <s v="Mineral Water"/>
    <s v="Food &amp; Beverages"/>
    <s v="EastWest Trading"/>
    <x v="4"/>
    <s v="South"/>
    <n v="880"/>
    <n v="268"/>
    <n v="340"/>
    <n v="46"/>
    <n v="1"/>
    <n v="15640"/>
  </r>
  <r>
    <s v="ORD-1111"/>
    <d v="2024-12-03T00:00:00"/>
    <s v="PRD-211"/>
    <s v="Laptop"/>
    <s v="Electronics"/>
    <s v="QuickSupply Co."/>
    <x v="0"/>
    <s v="West"/>
    <n v="88"/>
    <n v="40"/>
    <n v="24"/>
    <n v="48000"/>
    <n v="7"/>
    <n v="1152000"/>
  </r>
  <r>
    <s v="ORD-1112"/>
    <d v="2024-12-06T00:00:00"/>
    <s v="PRD-212"/>
    <s v="Filing Cabinet"/>
    <s v="Furniture"/>
    <s v="GlobalTrade Ltd."/>
    <x v="1"/>
    <s v="North"/>
    <n v="28"/>
    <n v="13"/>
    <n v="6"/>
    <n v="7800"/>
    <n v="11"/>
    <n v="46800"/>
  </r>
  <r>
    <s v="ORD-1113"/>
    <d v="2024-12-09T00:00:00"/>
    <s v="PRD-213"/>
    <s v="Polo T-Shirt"/>
    <s v="Clothing"/>
    <s v="FastTrack Logistics"/>
    <x v="2"/>
    <s v="South"/>
    <n v="340"/>
    <n v="88"/>
    <n v="80"/>
    <n v="1000"/>
    <n v="3"/>
    <n v="80000"/>
  </r>
  <r>
    <s v="ORD-1114"/>
    <d v="2024-12-12T00:00:00"/>
    <s v="PRD-214"/>
    <s v="Protein Bar"/>
    <s v="Food &amp; Beverages"/>
    <s v="PrimeSources Inc."/>
    <x v="3"/>
    <s v="East"/>
    <n v="360"/>
    <n v="108"/>
    <n v="92"/>
    <n v="190"/>
    <n v="2"/>
    <n v="17480"/>
  </r>
  <r>
    <s v="ORD-1115"/>
    <d v="2024-12-15T00:00:00"/>
    <s v="PRD-215"/>
    <s v="Scissors"/>
    <s v="Office Supplies"/>
    <s v="ValueChain Corp."/>
    <x v="4"/>
    <s v="South"/>
    <n v="460"/>
    <n v="125"/>
    <n v="148"/>
    <n v="112"/>
    <n v="2"/>
    <n v="16576"/>
  </r>
  <r>
    <s v="ORD-1116"/>
    <d v="2024-12-18T00:00:00"/>
    <s v="PRD-216"/>
    <s v="Tool Kit"/>
    <s v="Industrial"/>
    <s v="Apex Distributors"/>
    <x v="0"/>
    <s v="West"/>
    <n v="50"/>
    <n v="20"/>
    <n v="9"/>
    <n v="5600"/>
    <n v="8"/>
    <n v="50400"/>
  </r>
  <r>
    <s v="ORD-1117"/>
    <d v="2024-12-21T00:00:00"/>
    <s v="PRD-217"/>
    <s v="Router"/>
    <s v="Electronics"/>
    <s v="NexGen Suppliers"/>
    <x v="1"/>
    <s v="North"/>
    <n v="125"/>
    <n v="42"/>
    <n v="30"/>
    <n v="3700"/>
    <n v="5"/>
    <n v="111000"/>
  </r>
  <r>
    <s v="ORD-1118"/>
    <d v="2024-12-24T00:00:00"/>
    <s v="PRD-218"/>
    <s v="Conference Table"/>
    <s v="Furniture"/>
    <s v="EastWest Trading"/>
    <x v="2"/>
    <s v="South"/>
    <n v="8"/>
    <n v="5"/>
    <n v="2"/>
    <n v="38000"/>
    <n v="18"/>
    <n v="76000"/>
  </r>
  <r>
    <s v="ORD-1119"/>
    <d v="2024-12-27T00:00:00"/>
    <s v="PRD-219"/>
    <s v="Blazer"/>
    <s v="Clothing"/>
    <s v="QuickSupply Co."/>
    <x v="3"/>
    <s v="East"/>
    <n v="115"/>
    <n v="36"/>
    <n v="28"/>
    <n v="4800"/>
    <n v="5"/>
    <n v="134400"/>
  </r>
  <r>
    <s v="ORD-1120"/>
    <d v="2024-12-30T00:00:00"/>
    <s v="PRD-220"/>
    <s v="Instant Noodles"/>
    <s v="Food &amp; Beverages"/>
    <s v="GlobalTrade Ltd."/>
    <x v="4"/>
    <s v="South"/>
    <n v="580"/>
    <n v="185"/>
    <n v="205"/>
    <n v="65"/>
    <n v="1"/>
    <n v="133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RD-1001"/>
    <d v="2024-01-03T00:00:00"/>
    <s v="PRD-101"/>
    <s v="Laptop"/>
    <x v="0"/>
    <x v="0"/>
    <x v="0"/>
    <x v="0"/>
    <n v="120"/>
    <n v="50"/>
    <n v="30"/>
    <n v="45000"/>
    <n v="7"/>
    <n v="1350000"/>
    <s v="In Stock"/>
    <x v="0"/>
  </r>
  <r>
    <s v="ORD-1002"/>
    <d v="2024-01-05T00:00:00"/>
    <s v="PRD-102"/>
    <s v="Office Chair"/>
    <x v="1"/>
    <x v="1"/>
    <x v="1"/>
    <x v="1"/>
    <n v="80"/>
    <n v="30"/>
    <n v="15"/>
    <n v="8500"/>
    <n v="10"/>
    <n v="127500"/>
    <s v="In Stock"/>
    <x v="0"/>
  </r>
  <r>
    <s v="ORD-1003"/>
    <d v="2024-01-07T00:00:00"/>
    <s v="PRD-103"/>
    <s v="Winter Jacket"/>
    <x v="2"/>
    <x v="2"/>
    <x v="2"/>
    <x v="2"/>
    <n v="200"/>
    <n v="60"/>
    <n v="45"/>
    <n v="3200"/>
    <n v="5"/>
    <n v="144000"/>
    <s v="In Stock"/>
    <x v="0"/>
  </r>
  <r>
    <s v="ORD-1004"/>
    <d v="2024-01-09T00:00:00"/>
    <s v="PRD-104"/>
    <s v="Coffee Beans"/>
    <x v="3"/>
    <x v="3"/>
    <x v="3"/>
    <x v="3"/>
    <n v="350"/>
    <n v="100"/>
    <n v="80"/>
    <n v="600"/>
    <n v="3"/>
    <n v="48000"/>
    <s v="In Stock"/>
    <x v="0"/>
  </r>
  <r>
    <s v="ORD-1005"/>
    <d v="2024-01-12T00:00:00"/>
    <s v="PRD-105"/>
    <s v="A4 Paper Ream"/>
    <x v="4"/>
    <x v="4"/>
    <x v="4"/>
    <x v="2"/>
    <n v="500"/>
    <n v="150"/>
    <n v="120"/>
    <n v="250"/>
    <n v="4"/>
    <n v="30000"/>
    <s v="In Stock"/>
    <x v="0"/>
  </r>
  <r>
    <s v="ORD-1006"/>
    <d v="2024-01-15T00:00:00"/>
    <s v="PRD-106"/>
    <s v="Safety Helmet"/>
    <x v="5"/>
    <x v="5"/>
    <x v="0"/>
    <x v="0"/>
    <n v="90"/>
    <n v="40"/>
    <n v="20"/>
    <n v="1200"/>
    <n v="8"/>
    <n v="24000"/>
    <s v="In Stock"/>
    <x v="0"/>
  </r>
  <r>
    <s v="ORD-1007"/>
    <d v="2024-01-18T00:00:00"/>
    <s v="PRD-107"/>
    <s v="Smartphone"/>
    <x v="0"/>
    <x v="0"/>
    <x v="1"/>
    <x v="1"/>
    <n v="60"/>
    <n v="30"/>
    <n v="25"/>
    <n v="32000"/>
    <n v="6"/>
    <n v="800000"/>
    <s v="In Stock"/>
    <x v="0"/>
  </r>
  <r>
    <s v="ORD-1008"/>
    <d v="2024-01-20T00:00:00"/>
    <s v="PRD-108"/>
    <s v="Standing Desk"/>
    <x v="1"/>
    <x v="1"/>
    <x v="2"/>
    <x v="2"/>
    <n v="40"/>
    <n v="20"/>
    <n v="10"/>
    <n v="15000"/>
    <n v="12"/>
    <n v="150000"/>
    <s v="In Stock"/>
    <x v="0"/>
  </r>
  <r>
    <s v="ORD-1009"/>
    <d v="2024-01-22T00:00:00"/>
    <s v="PRD-109"/>
    <s v="Sports Shoes"/>
    <x v="2"/>
    <x v="2"/>
    <x v="3"/>
    <x v="3"/>
    <n v="150"/>
    <n v="50"/>
    <n v="35"/>
    <n v="2800"/>
    <n v="5"/>
    <n v="98000"/>
    <s v="In Stock"/>
    <x v="0"/>
  </r>
  <r>
    <s v="ORD-1010"/>
    <d v="2024-01-25T00:00:00"/>
    <s v="PRD-110"/>
    <s v="Green Tea"/>
    <x v="3"/>
    <x v="3"/>
    <x v="4"/>
    <x v="2"/>
    <n v="400"/>
    <n v="100"/>
    <n v="90"/>
    <n v="450"/>
    <n v="3"/>
    <n v="40500"/>
    <s v="In Stock"/>
    <x v="0"/>
  </r>
  <r>
    <s v="ORD-1011"/>
    <d v="2024-02-01T00:00:00"/>
    <s v="PRD-111"/>
    <s v="Tablet"/>
    <x v="0"/>
    <x v="6"/>
    <x v="0"/>
    <x v="0"/>
    <n v="75"/>
    <n v="25"/>
    <n v="20"/>
    <n v="22000"/>
    <n v="7"/>
    <n v="440000"/>
    <s v="In Stock"/>
    <x v="1"/>
  </r>
  <r>
    <s v="ORD-1012"/>
    <d v="2024-02-03T00:00:00"/>
    <s v="PRD-112"/>
    <s v="Bookshelf"/>
    <x v="1"/>
    <x v="7"/>
    <x v="1"/>
    <x v="1"/>
    <n v="55"/>
    <n v="20"/>
    <n v="12"/>
    <n v="5500"/>
    <n v="9"/>
    <n v="66000"/>
    <s v="In Stock"/>
    <x v="1"/>
  </r>
  <r>
    <s v="ORD-1013"/>
    <d v="2024-02-06T00:00:00"/>
    <s v="PRD-113"/>
    <s v="Formal Shirt"/>
    <x v="2"/>
    <x v="4"/>
    <x v="2"/>
    <x v="2"/>
    <n v="180"/>
    <n v="60"/>
    <n v="40"/>
    <n v="1800"/>
    <n v="4"/>
    <n v="72000"/>
    <s v="In Stock"/>
    <x v="1"/>
  </r>
  <r>
    <s v="ORD-1014"/>
    <d v="2024-02-08T00:00:00"/>
    <s v="PRD-114"/>
    <s v="Energy Drink"/>
    <x v="3"/>
    <x v="5"/>
    <x v="3"/>
    <x v="3"/>
    <n v="600"/>
    <n v="200"/>
    <n v="150"/>
    <n v="120"/>
    <n v="2"/>
    <n v="18000"/>
    <s v="In Stock"/>
    <x v="1"/>
  </r>
  <r>
    <s v="ORD-1015"/>
    <d v="2024-02-10T00:00:00"/>
    <s v="PRD-115"/>
    <s v="Ball Pen Set"/>
    <x v="4"/>
    <x v="0"/>
    <x v="4"/>
    <x v="2"/>
    <n v="800"/>
    <n v="200"/>
    <n v="300"/>
    <n v="80"/>
    <n v="2"/>
    <n v="24000"/>
    <s v="In Stock"/>
    <x v="1"/>
  </r>
  <r>
    <s v="ORD-1016"/>
    <d v="2024-02-13T00:00:00"/>
    <s v="PRD-116"/>
    <s v="Work Gloves"/>
    <x v="5"/>
    <x v="1"/>
    <x v="0"/>
    <x v="0"/>
    <n v="250"/>
    <n v="80"/>
    <n v="60"/>
    <n v="350"/>
    <n v="5"/>
    <n v="21000"/>
    <s v="In Stock"/>
    <x v="1"/>
  </r>
  <r>
    <s v="ORD-1017"/>
    <d v="2024-02-15T00:00:00"/>
    <s v="PRD-117"/>
    <s v="Monitor"/>
    <x v="0"/>
    <x v="2"/>
    <x v="1"/>
    <x v="1"/>
    <n v="45"/>
    <n v="20"/>
    <n v="18"/>
    <n v="18000"/>
    <n v="8"/>
    <n v="324000"/>
    <s v="In Stock"/>
    <x v="1"/>
  </r>
  <r>
    <s v="ORD-1018"/>
    <d v="2024-02-18T00:00:00"/>
    <s v="PRD-118"/>
    <s v="Filing Cabinet"/>
    <x v="1"/>
    <x v="3"/>
    <x v="2"/>
    <x v="2"/>
    <n v="30"/>
    <n v="15"/>
    <n v="8"/>
    <n v="7200"/>
    <n v="11"/>
    <n v="57600"/>
    <s v="In Stock"/>
    <x v="1"/>
  </r>
  <r>
    <s v="ORD-1019"/>
    <d v="2024-02-20T00:00:00"/>
    <s v="PRD-119"/>
    <s v="Denim Jeans"/>
    <x v="2"/>
    <x v="6"/>
    <x v="3"/>
    <x v="3"/>
    <n v="220"/>
    <n v="70"/>
    <n v="55"/>
    <n v="2200"/>
    <n v="4"/>
    <n v="121000"/>
    <s v="In Stock"/>
    <x v="1"/>
  </r>
  <r>
    <s v="ORD-1020"/>
    <d v="2024-02-22T00:00:00"/>
    <s v="PRD-120"/>
    <s v="Mineral Water"/>
    <x v="3"/>
    <x v="7"/>
    <x v="4"/>
    <x v="2"/>
    <n v="1000"/>
    <n v="300"/>
    <n v="400"/>
    <n v="40"/>
    <n v="1"/>
    <n v="16000"/>
    <s v="In Stock"/>
    <x v="1"/>
  </r>
  <r>
    <s v="ORD-1021"/>
    <d v="2024-03-01T00:00:00"/>
    <s v="PRD-121"/>
    <s v="Keyboard"/>
    <x v="0"/>
    <x v="4"/>
    <x v="0"/>
    <x v="0"/>
    <n v="160"/>
    <n v="50"/>
    <n v="45"/>
    <n v="2500"/>
    <n v="5"/>
    <n v="112500"/>
    <s v="In Stock"/>
    <x v="2"/>
  </r>
  <r>
    <s v="ORD-1022"/>
    <d v="2024-03-04T00:00:00"/>
    <s v="PRD-122"/>
    <s v="Sofa"/>
    <x v="1"/>
    <x v="5"/>
    <x v="1"/>
    <x v="1"/>
    <n v="25"/>
    <n v="10"/>
    <n v="6"/>
    <n v="25000"/>
    <n v="15"/>
    <n v="150000"/>
    <s v="In Stock"/>
    <x v="2"/>
  </r>
  <r>
    <s v="ORD-1023"/>
    <d v="2024-03-06T00:00:00"/>
    <s v="PRD-123"/>
    <s v="Polo T-Shirt"/>
    <x v="2"/>
    <x v="0"/>
    <x v="2"/>
    <x v="2"/>
    <n v="300"/>
    <n v="80"/>
    <n v="70"/>
    <n v="900"/>
    <n v="3"/>
    <n v="63000"/>
    <s v="In Stock"/>
    <x v="2"/>
  </r>
  <r>
    <s v="ORD-1024"/>
    <d v="2024-03-09T00:00:00"/>
    <s v="PRD-124"/>
    <s v="Protein Bar"/>
    <x v="3"/>
    <x v="1"/>
    <x v="3"/>
    <x v="3"/>
    <n v="450"/>
    <n v="120"/>
    <n v="110"/>
    <n v="180"/>
    <n v="2"/>
    <n v="19800"/>
    <s v="In Stock"/>
    <x v="2"/>
  </r>
  <r>
    <s v="ORD-1025"/>
    <d v="2024-03-12T00:00:00"/>
    <s v="PRD-125"/>
    <s v="Stapler"/>
    <x v="4"/>
    <x v="2"/>
    <x v="4"/>
    <x v="2"/>
    <n v="600"/>
    <n v="150"/>
    <n v="200"/>
    <n v="150"/>
    <n v="3"/>
    <n v="30000"/>
    <s v="In Stock"/>
    <x v="2"/>
  </r>
  <r>
    <s v="ORD-1026"/>
    <d v="2024-03-15T00:00:00"/>
    <s v="PRD-126"/>
    <s v="Power Drill"/>
    <x v="5"/>
    <x v="3"/>
    <x v="0"/>
    <x v="0"/>
    <n v="70"/>
    <n v="30"/>
    <n v="15"/>
    <n v="4500"/>
    <n v="7"/>
    <n v="67500"/>
    <s v="In Stock"/>
    <x v="2"/>
  </r>
  <r>
    <s v="ORD-1027"/>
    <d v="2024-03-18T00:00:00"/>
    <s v="PRD-127"/>
    <s v="Headphones"/>
    <x v="0"/>
    <x v="6"/>
    <x v="1"/>
    <x v="1"/>
    <n v="110"/>
    <n v="40"/>
    <n v="30"/>
    <n v="3800"/>
    <n v="6"/>
    <n v="114000"/>
    <s v="In Stock"/>
    <x v="2"/>
  </r>
  <r>
    <s v="ORD-1028"/>
    <d v="2024-03-20T00:00:00"/>
    <s v="PRD-128"/>
    <s v="Conference Table"/>
    <x v="1"/>
    <x v="7"/>
    <x v="2"/>
    <x v="2"/>
    <n v="15"/>
    <n v="8"/>
    <n v="4"/>
    <n v="35000"/>
    <n v="18"/>
    <n v="140000"/>
    <s v="In Stock"/>
    <x v="2"/>
  </r>
  <r>
    <s v="ORD-1029"/>
    <d v="2024-03-22T00:00:00"/>
    <s v="PRD-129"/>
    <s v="Blazer"/>
    <x v="2"/>
    <x v="4"/>
    <x v="3"/>
    <x v="3"/>
    <n v="90"/>
    <n v="30"/>
    <n v="22"/>
    <n v="4500"/>
    <n v="5"/>
    <n v="99000"/>
    <s v="In Stock"/>
    <x v="2"/>
  </r>
  <r>
    <s v="ORD-1030"/>
    <d v="2024-03-25T00:00:00"/>
    <s v="PRD-130"/>
    <s v="Instant Noodles"/>
    <x v="3"/>
    <x v="5"/>
    <x v="4"/>
    <x v="2"/>
    <n v="700"/>
    <n v="200"/>
    <n v="250"/>
    <n v="60"/>
    <n v="1"/>
    <n v="15000"/>
    <s v="In Stock"/>
    <x v="2"/>
  </r>
  <r>
    <s v="ORD-1031"/>
    <d v="2024-04-02T00:00:00"/>
    <s v="PRD-131"/>
    <s v="Webcam"/>
    <x v="0"/>
    <x v="0"/>
    <x v="0"/>
    <x v="0"/>
    <n v="85"/>
    <n v="30"/>
    <n v="20"/>
    <n v="2200"/>
    <n v="5"/>
    <n v="44000"/>
    <s v="In Stock"/>
    <x v="3"/>
  </r>
  <r>
    <s v="ORD-1032"/>
    <d v="2024-04-05T00:00:00"/>
    <s v="PRD-132"/>
    <s v="Office Chair"/>
    <x v="1"/>
    <x v="1"/>
    <x v="1"/>
    <x v="1"/>
    <n v="95"/>
    <n v="35"/>
    <n v="25"/>
    <n v="8800"/>
    <n v="10"/>
    <n v="220000"/>
    <s v="In Stock"/>
    <x v="3"/>
  </r>
  <r>
    <s v="ORD-1033"/>
    <d v="2024-04-08T00:00:00"/>
    <s v="PRD-133"/>
    <s v="Winter Jacket"/>
    <x v="2"/>
    <x v="2"/>
    <x v="2"/>
    <x v="2"/>
    <n v="130"/>
    <n v="50"/>
    <n v="30"/>
    <n v="3400"/>
    <n v="5"/>
    <n v="102000"/>
    <s v="In Stock"/>
    <x v="3"/>
  </r>
  <r>
    <s v="ORD-1034"/>
    <d v="2024-04-10T00:00:00"/>
    <s v="PRD-134"/>
    <s v="Coffee Beans"/>
    <x v="3"/>
    <x v="3"/>
    <x v="3"/>
    <x v="3"/>
    <n v="280"/>
    <n v="90"/>
    <n v="70"/>
    <n v="620"/>
    <n v="3"/>
    <n v="43400"/>
    <s v="In Stock"/>
    <x v="3"/>
  </r>
  <r>
    <s v="ORD-1035"/>
    <d v="2024-04-13T00:00:00"/>
    <s v="PRD-135"/>
    <s v="Whiteboard Marker"/>
    <x v="4"/>
    <x v="6"/>
    <x v="4"/>
    <x v="2"/>
    <n v="450"/>
    <n v="120"/>
    <n v="180"/>
    <n v="90"/>
    <n v="2"/>
    <n v="16200"/>
    <s v="In Stock"/>
    <x v="3"/>
  </r>
  <r>
    <s v="ORD-1036"/>
    <d v="2024-04-16T00:00:00"/>
    <s v="PRD-136"/>
    <s v="Safety Boots"/>
    <x v="5"/>
    <x v="7"/>
    <x v="0"/>
    <x v="0"/>
    <n v="60"/>
    <n v="25"/>
    <n v="12"/>
    <n v="2800"/>
    <n v="7"/>
    <n v="33600"/>
    <s v="In Stock"/>
    <x v="3"/>
  </r>
  <r>
    <s v="ORD-1037"/>
    <d v="2024-04-18T00:00:00"/>
    <s v="PRD-137"/>
    <s v="Router"/>
    <x v="0"/>
    <x v="4"/>
    <x v="1"/>
    <x v="1"/>
    <n v="140"/>
    <n v="45"/>
    <n v="35"/>
    <n v="3500"/>
    <n v="5"/>
    <n v="122500"/>
    <s v="In Stock"/>
    <x v="3"/>
  </r>
  <r>
    <s v="ORD-1038"/>
    <d v="2024-04-20T00:00:00"/>
    <s v="PRD-138"/>
    <s v="Standing Desk"/>
    <x v="1"/>
    <x v="5"/>
    <x v="2"/>
    <x v="2"/>
    <n v="50"/>
    <n v="22"/>
    <n v="14"/>
    <n v="16000"/>
    <n v="12"/>
    <n v="224000"/>
    <s v="In Stock"/>
    <x v="3"/>
  </r>
  <r>
    <s v="ORD-1039"/>
    <d v="2024-04-23T00:00:00"/>
    <s v="PRD-139"/>
    <s v="Sports Shoes"/>
    <x v="2"/>
    <x v="0"/>
    <x v="3"/>
    <x v="3"/>
    <n v="175"/>
    <n v="55"/>
    <n v="40"/>
    <n v="2900"/>
    <n v="5"/>
    <n v="116000"/>
    <s v="In Stock"/>
    <x v="3"/>
  </r>
  <r>
    <s v="ORD-1040"/>
    <d v="2024-04-25T00:00:00"/>
    <s v="PRD-140"/>
    <s v="Green Tea"/>
    <x v="3"/>
    <x v="1"/>
    <x v="4"/>
    <x v="2"/>
    <n v="380"/>
    <n v="100"/>
    <n v="85"/>
    <n v="460"/>
    <n v="3"/>
    <n v="39100"/>
    <s v="In Stock"/>
    <x v="3"/>
  </r>
  <r>
    <s v="ORD-1041"/>
    <d v="2024-05-02T00:00:00"/>
    <s v="PRD-141"/>
    <s v="Laptop"/>
    <x v="0"/>
    <x v="2"/>
    <x v="0"/>
    <x v="0"/>
    <n v="100"/>
    <n v="45"/>
    <n v="28"/>
    <n v="46000"/>
    <n v="7"/>
    <n v="1288000"/>
    <s v="In Stock"/>
    <x v="4"/>
  </r>
  <r>
    <s v="ORD-1042"/>
    <d v="2024-05-05T00:00:00"/>
    <s v="PRD-142"/>
    <s v="Bookshelf"/>
    <x v="1"/>
    <x v="3"/>
    <x v="1"/>
    <x v="1"/>
    <n v="65"/>
    <n v="22"/>
    <n v="16"/>
    <n v="5800"/>
    <n v="9"/>
    <n v="92800"/>
    <s v="In Stock"/>
    <x v="4"/>
  </r>
  <r>
    <s v="ORD-1043"/>
    <d v="2024-05-08T00:00:00"/>
    <s v="PRD-143"/>
    <s v="Formal Shirt"/>
    <x v="2"/>
    <x v="6"/>
    <x v="2"/>
    <x v="2"/>
    <n v="200"/>
    <n v="65"/>
    <n v="48"/>
    <n v="1900"/>
    <n v="4"/>
    <n v="91200"/>
    <s v="In Stock"/>
    <x v="4"/>
  </r>
  <r>
    <s v="ORD-1044"/>
    <d v="2024-05-10T00:00:00"/>
    <s v="PRD-144"/>
    <s v="Energy Drink"/>
    <x v="3"/>
    <x v="7"/>
    <x v="3"/>
    <x v="3"/>
    <n v="550"/>
    <n v="180"/>
    <n v="140"/>
    <n v="125"/>
    <n v="2"/>
    <n v="17500"/>
    <s v="In Stock"/>
    <x v="4"/>
  </r>
  <r>
    <s v="ORD-1045"/>
    <d v="2024-05-14T00:00:00"/>
    <s v="PRD-145"/>
    <s v="Tape Dispenser"/>
    <x v="4"/>
    <x v="4"/>
    <x v="4"/>
    <x v="2"/>
    <n v="350"/>
    <n v="100"/>
    <n v="120"/>
    <n v="120"/>
    <n v="2"/>
    <n v="14400"/>
    <s v="In Stock"/>
    <x v="4"/>
  </r>
  <r>
    <s v="ORD-1046"/>
    <d v="2024-05-16T00:00:00"/>
    <s v="PRD-146"/>
    <s v="Welding Mask"/>
    <x v="5"/>
    <x v="5"/>
    <x v="0"/>
    <x v="0"/>
    <n v="40"/>
    <n v="18"/>
    <n v="8"/>
    <n v="3200"/>
    <n v="8"/>
    <n v="25600"/>
    <s v="In Stock"/>
    <x v="4"/>
  </r>
  <r>
    <s v="ORD-1047"/>
    <d v="2024-05-19T00:00:00"/>
    <s v="PRD-147"/>
    <s v="Smartphone"/>
    <x v="0"/>
    <x v="0"/>
    <x v="1"/>
    <x v="1"/>
    <n v="55"/>
    <n v="28"/>
    <n v="22"/>
    <n v="33000"/>
    <n v="6"/>
    <n v="726000"/>
    <s v="In Stock"/>
    <x v="4"/>
  </r>
  <r>
    <s v="ORD-1048"/>
    <d v="2024-05-22T00:00:00"/>
    <s v="PRD-148"/>
    <s v="Filing Cabinet"/>
    <x v="1"/>
    <x v="1"/>
    <x v="2"/>
    <x v="2"/>
    <n v="35"/>
    <n v="16"/>
    <n v="9"/>
    <n v="7400"/>
    <n v="11"/>
    <n v="66600"/>
    <s v="In Stock"/>
    <x v="4"/>
  </r>
  <r>
    <s v="ORD-1049"/>
    <d v="2024-05-24T00:00:00"/>
    <s v="PRD-149"/>
    <s v="Denim Jeans"/>
    <x v="2"/>
    <x v="2"/>
    <x v="3"/>
    <x v="3"/>
    <n v="240"/>
    <n v="72"/>
    <n v="58"/>
    <n v="2300"/>
    <n v="4"/>
    <n v="133400"/>
    <s v="In Stock"/>
    <x v="4"/>
  </r>
  <r>
    <s v="ORD-1050"/>
    <d v="2024-05-27T00:00:00"/>
    <s v="PRD-150"/>
    <s v="Mineral Water"/>
    <x v="3"/>
    <x v="3"/>
    <x v="4"/>
    <x v="2"/>
    <n v="950"/>
    <n v="280"/>
    <n v="380"/>
    <n v="42"/>
    <n v="1"/>
    <n v="15960"/>
    <s v="In Stock"/>
    <x v="4"/>
  </r>
  <r>
    <s v="ORD-1051"/>
    <d v="2024-06-03T00:00:00"/>
    <s v="PRD-151"/>
    <s v="Tablet"/>
    <x v="0"/>
    <x v="6"/>
    <x v="0"/>
    <x v="0"/>
    <n v="70"/>
    <n v="24"/>
    <n v="18"/>
    <n v="23000"/>
    <n v="7"/>
    <n v="414000"/>
    <s v="In Stock"/>
    <x v="5"/>
  </r>
  <r>
    <s v="ORD-1052"/>
    <d v="2024-06-06T00:00:00"/>
    <s v="PRD-152"/>
    <s v="Sofa"/>
    <x v="1"/>
    <x v="7"/>
    <x v="1"/>
    <x v="1"/>
    <n v="20"/>
    <n v="9"/>
    <n v="5"/>
    <n v="26000"/>
    <n v="15"/>
    <n v="130000"/>
    <s v="In Stock"/>
    <x v="5"/>
  </r>
  <r>
    <s v="ORD-1053"/>
    <d v="2024-06-09T00:00:00"/>
    <s v="PRD-153"/>
    <s v="Polo T-Shirt"/>
    <x v="2"/>
    <x v="4"/>
    <x v="2"/>
    <x v="2"/>
    <n v="320"/>
    <n v="85"/>
    <n v="75"/>
    <n v="950"/>
    <n v="3"/>
    <n v="71250"/>
    <s v="In Stock"/>
    <x v="5"/>
  </r>
  <r>
    <s v="ORD-1054"/>
    <d v="2024-06-12T00:00:00"/>
    <s v="PRD-154"/>
    <s v="Protein Bar"/>
    <x v="3"/>
    <x v="5"/>
    <x v="3"/>
    <x v="3"/>
    <n v="420"/>
    <n v="115"/>
    <n v="105"/>
    <n v="185"/>
    <n v="2"/>
    <n v="19425"/>
    <s v="In Stock"/>
    <x v="5"/>
  </r>
  <r>
    <s v="ORD-1055"/>
    <d v="2024-06-15T00:00:00"/>
    <s v="PRD-155"/>
    <s v="Scissors"/>
    <x v="4"/>
    <x v="0"/>
    <x v="4"/>
    <x v="2"/>
    <n v="500"/>
    <n v="130"/>
    <n v="160"/>
    <n v="110"/>
    <n v="2"/>
    <n v="17600"/>
    <s v="In Stock"/>
    <x v="5"/>
  </r>
  <r>
    <s v="ORD-1056"/>
    <d v="2024-06-18T00:00:00"/>
    <s v="PRD-156"/>
    <s v="Tool Kit"/>
    <x v="5"/>
    <x v="1"/>
    <x v="0"/>
    <x v="0"/>
    <n v="55"/>
    <n v="22"/>
    <n v="10"/>
    <n v="5500"/>
    <n v="8"/>
    <n v="55000"/>
    <s v="In Stock"/>
    <x v="5"/>
  </r>
  <r>
    <s v="ORD-1057"/>
    <d v="2024-06-20T00:00:00"/>
    <s v="PRD-157"/>
    <s v="Monitor"/>
    <x v="0"/>
    <x v="2"/>
    <x v="1"/>
    <x v="1"/>
    <n v="42"/>
    <n v="19"/>
    <n v="16"/>
    <n v="18500"/>
    <n v="8"/>
    <n v="296000"/>
    <s v="In Stock"/>
    <x v="5"/>
  </r>
  <r>
    <s v="ORD-1058"/>
    <d v="2024-06-23T00:00:00"/>
    <s v="PRD-158"/>
    <s v="Conference Table"/>
    <x v="1"/>
    <x v="3"/>
    <x v="2"/>
    <x v="2"/>
    <n v="12"/>
    <n v="7"/>
    <n v="3"/>
    <n v="36000"/>
    <n v="18"/>
    <n v="108000"/>
    <s v="In Stock"/>
    <x v="5"/>
  </r>
  <r>
    <s v="ORD-1059"/>
    <d v="2024-06-25T00:00:00"/>
    <s v="PRD-159"/>
    <s v="Blazer"/>
    <x v="2"/>
    <x v="6"/>
    <x v="3"/>
    <x v="3"/>
    <n v="100"/>
    <n v="32"/>
    <n v="24"/>
    <n v="4600"/>
    <n v="5"/>
    <n v="110400"/>
    <s v="In Stock"/>
    <x v="5"/>
  </r>
  <r>
    <s v="ORD-1060"/>
    <d v="2024-06-28T00:00:00"/>
    <s v="PRD-160"/>
    <s v="Instant Noodles"/>
    <x v="3"/>
    <x v="7"/>
    <x v="4"/>
    <x v="2"/>
    <n v="650"/>
    <n v="195"/>
    <n v="230"/>
    <n v="62"/>
    <n v="1"/>
    <n v="14260"/>
    <s v="In Stock"/>
    <x v="5"/>
  </r>
  <r>
    <s v="ORD-1061"/>
    <d v="2024-07-02T00:00:00"/>
    <s v="PRD-161"/>
    <s v="Keyboard"/>
    <x v="0"/>
    <x v="4"/>
    <x v="0"/>
    <x v="0"/>
    <n v="170"/>
    <n v="52"/>
    <n v="48"/>
    <n v="2600"/>
    <n v="5"/>
    <n v="124800"/>
    <s v="In Stock"/>
    <x v="6"/>
  </r>
  <r>
    <s v="ORD-1062"/>
    <d v="2024-07-05T00:00:00"/>
    <s v="PRD-162"/>
    <s v="Office Chair"/>
    <x v="1"/>
    <x v="5"/>
    <x v="1"/>
    <x v="1"/>
    <n v="88"/>
    <n v="33"/>
    <n v="20"/>
    <n v="9000"/>
    <n v="10"/>
    <n v="180000"/>
    <s v="In Stock"/>
    <x v="6"/>
  </r>
  <r>
    <s v="ORD-1063"/>
    <d v="2024-07-08T00:00:00"/>
    <s v="PRD-163"/>
    <s v="Winter Jacket"/>
    <x v="2"/>
    <x v="0"/>
    <x v="2"/>
    <x v="2"/>
    <n v="140"/>
    <n v="52"/>
    <n v="32"/>
    <n v="3500"/>
    <n v="5"/>
    <n v="112000"/>
    <s v="In Stock"/>
    <x v="6"/>
  </r>
  <r>
    <s v="ORD-1064"/>
    <d v="2024-07-11T00:00:00"/>
    <s v="PRD-164"/>
    <s v="Coffee Beans"/>
    <x v="3"/>
    <x v="1"/>
    <x v="3"/>
    <x v="3"/>
    <n v="260"/>
    <n v="88"/>
    <n v="65"/>
    <n v="630"/>
    <n v="3"/>
    <n v="40950"/>
    <s v="In Stock"/>
    <x v="6"/>
  </r>
  <r>
    <s v="ORD-1065"/>
    <d v="2024-07-14T00:00:00"/>
    <s v="PRD-165"/>
    <s v="A4 Paper Ream"/>
    <x v="4"/>
    <x v="2"/>
    <x v="4"/>
    <x v="2"/>
    <n v="480"/>
    <n v="145"/>
    <n v="115"/>
    <n v="255"/>
    <n v="4"/>
    <n v="29325"/>
    <s v="In Stock"/>
    <x v="6"/>
  </r>
  <r>
    <s v="ORD-1066"/>
    <d v="2024-07-17T00:00:00"/>
    <s v="PRD-166"/>
    <s v="Safety Helmet"/>
    <x v="5"/>
    <x v="3"/>
    <x v="0"/>
    <x v="0"/>
    <n v="85"/>
    <n v="38"/>
    <n v="18"/>
    <n v="1250"/>
    <n v="8"/>
    <n v="22500"/>
    <s v="In Stock"/>
    <x v="6"/>
  </r>
  <r>
    <s v="ORD-1067"/>
    <d v="2024-07-19T00:00:00"/>
    <s v="PRD-167"/>
    <s v="Webcam"/>
    <x v="0"/>
    <x v="6"/>
    <x v="1"/>
    <x v="1"/>
    <n v="90"/>
    <n v="32"/>
    <n v="22"/>
    <n v="2300"/>
    <n v="5"/>
    <n v="50600"/>
    <s v="In Stock"/>
    <x v="6"/>
  </r>
  <r>
    <s v="ORD-1068"/>
    <d v="2024-07-22T00:00:00"/>
    <s v="PRD-168"/>
    <s v="Bookshelf"/>
    <x v="1"/>
    <x v="7"/>
    <x v="2"/>
    <x v="2"/>
    <n v="58"/>
    <n v="21"/>
    <n v="13"/>
    <n v="5700"/>
    <n v="9"/>
    <n v="74100"/>
    <s v="In Stock"/>
    <x v="6"/>
  </r>
  <r>
    <s v="ORD-1069"/>
    <d v="2024-07-25T00:00:00"/>
    <s v="PRD-169"/>
    <s v="Sports Shoes"/>
    <x v="2"/>
    <x v="4"/>
    <x v="3"/>
    <x v="3"/>
    <n v="160"/>
    <n v="52"/>
    <n v="38"/>
    <n v="2950"/>
    <n v="5"/>
    <n v="112100"/>
    <s v="In Stock"/>
    <x v="6"/>
  </r>
  <r>
    <s v="ORD-1070"/>
    <d v="2024-07-28T00:00:00"/>
    <s v="PRD-170"/>
    <s v="Green Tea"/>
    <x v="3"/>
    <x v="5"/>
    <x v="4"/>
    <x v="2"/>
    <n v="360"/>
    <n v="98"/>
    <n v="80"/>
    <n v="470"/>
    <n v="3"/>
    <n v="37600"/>
    <s v="In Stock"/>
    <x v="6"/>
  </r>
  <r>
    <s v="ORD-1071"/>
    <d v="2024-08-01T00:00:00"/>
    <s v="PRD-171"/>
    <s v="Router"/>
    <x v="0"/>
    <x v="0"/>
    <x v="0"/>
    <x v="0"/>
    <n v="130"/>
    <n v="43"/>
    <n v="32"/>
    <n v="3600"/>
    <n v="5"/>
    <n v="115200"/>
    <s v="In Stock"/>
    <x v="7"/>
  </r>
  <r>
    <s v="ORD-1072"/>
    <d v="2024-08-05T00:00:00"/>
    <s v="PRD-172"/>
    <s v="Standing Desk"/>
    <x v="1"/>
    <x v="1"/>
    <x v="1"/>
    <x v="1"/>
    <n v="45"/>
    <n v="20"/>
    <n v="11"/>
    <n v="16500"/>
    <n v="12"/>
    <n v="181500"/>
    <s v="In Stock"/>
    <x v="7"/>
  </r>
  <r>
    <s v="ORD-1073"/>
    <d v="2024-08-08T00:00:00"/>
    <s v="PRD-173"/>
    <s v="Formal Shirt"/>
    <x v="2"/>
    <x v="2"/>
    <x v="2"/>
    <x v="2"/>
    <n v="190"/>
    <n v="62"/>
    <n v="44"/>
    <n v="1950"/>
    <n v="4"/>
    <n v="85800"/>
    <s v="In Stock"/>
    <x v="7"/>
  </r>
  <r>
    <s v="ORD-1074"/>
    <d v="2024-08-12T00:00:00"/>
    <s v="PRD-174"/>
    <s v="Energy Drink"/>
    <x v="3"/>
    <x v="3"/>
    <x v="3"/>
    <x v="3"/>
    <n v="520"/>
    <n v="175"/>
    <n v="135"/>
    <n v="128"/>
    <n v="2"/>
    <n v="17280"/>
    <s v="In Stock"/>
    <x v="7"/>
  </r>
  <r>
    <s v="ORD-1075"/>
    <d v="2024-08-15T00:00:00"/>
    <s v="PRD-175"/>
    <s v="Ball Pen Set"/>
    <x v="4"/>
    <x v="6"/>
    <x v="4"/>
    <x v="2"/>
    <n v="750"/>
    <n v="190"/>
    <n v="280"/>
    <n v="82"/>
    <n v="2"/>
    <n v="22960"/>
    <s v="In Stock"/>
    <x v="7"/>
  </r>
  <r>
    <s v="ORD-1076"/>
    <d v="2024-08-18T00:00:00"/>
    <s v="PRD-176"/>
    <s v="Power Drill"/>
    <x v="5"/>
    <x v="7"/>
    <x v="0"/>
    <x v="0"/>
    <n v="65"/>
    <n v="28"/>
    <n v="14"/>
    <n v="4600"/>
    <n v="7"/>
    <n v="64400"/>
    <s v="In Stock"/>
    <x v="7"/>
  </r>
  <r>
    <s v="ORD-1077"/>
    <d v="2024-08-21T00:00:00"/>
    <s v="PRD-177"/>
    <s v="Laptop"/>
    <x v="0"/>
    <x v="4"/>
    <x v="1"/>
    <x v="1"/>
    <n v="95"/>
    <n v="42"/>
    <n v="26"/>
    <n v="47000"/>
    <n v="7"/>
    <n v="1222000"/>
    <s v="In Stock"/>
    <x v="7"/>
  </r>
  <r>
    <s v="ORD-1078"/>
    <d v="2024-08-24T00:00:00"/>
    <s v="PRD-178"/>
    <s v="Sofa"/>
    <x v="1"/>
    <x v="5"/>
    <x v="2"/>
    <x v="2"/>
    <n v="18"/>
    <n v="8"/>
    <n v="4"/>
    <n v="27000"/>
    <n v="15"/>
    <n v="108000"/>
    <s v="In Stock"/>
    <x v="7"/>
  </r>
  <r>
    <s v="ORD-1079"/>
    <d v="2024-08-27T00:00:00"/>
    <s v="PRD-179"/>
    <s v="Polo T-Shirt"/>
    <x v="2"/>
    <x v="0"/>
    <x v="3"/>
    <x v="3"/>
    <n v="295"/>
    <n v="82"/>
    <n v="68"/>
    <n v="980"/>
    <n v="3"/>
    <n v="66640"/>
    <s v="In Stock"/>
    <x v="7"/>
  </r>
  <r>
    <s v="ORD-1080"/>
    <d v="2024-08-29T00:00:00"/>
    <s v="PRD-180"/>
    <s v="Mineral Water"/>
    <x v="3"/>
    <x v="1"/>
    <x v="4"/>
    <x v="2"/>
    <n v="900"/>
    <n v="275"/>
    <n v="360"/>
    <n v="44"/>
    <n v="1"/>
    <n v="15840"/>
    <s v="In Stock"/>
    <x v="7"/>
  </r>
  <r>
    <s v="ORD-1081"/>
    <d v="2024-09-02T00:00:00"/>
    <s v="PRD-181"/>
    <s v="Headphones"/>
    <x v="0"/>
    <x v="2"/>
    <x v="0"/>
    <x v="0"/>
    <n v="105"/>
    <n v="38"/>
    <n v="28"/>
    <n v="3900"/>
    <n v="6"/>
    <n v="109200"/>
    <s v="In Stock"/>
    <x v="8"/>
  </r>
  <r>
    <s v="ORD-1082"/>
    <d v="2024-09-05T00:00:00"/>
    <s v="PRD-182"/>
    <s v="Filing Cabinet"/>
    <x v="1"/>
    <x v="3"/>
    <x v="1"/>
    <x v="1"/>
    <n v="32"/>
    <n v="14"/>
    <n v="7"/>
    <n v="7600"/>
    <n v="11"/>
    <n v="53200"/>
    <s v="In Stock"/>
    <x v="8"/>
  </r>
  <r>
    <s v="ORD-1083"/>
    <d v="2024-09-09T00:00:00"/>
    <s v="PRD-183"/>
    <s v="Denim Jeans"/>
    <x v="2"/>
    <x v="6"/>
    <x v="2"/>
    <x v="2"/>
    <n v="230"/>
    <n v="68"/>
    <n v="52"/>
    <n v="2350"/>
    <n v="4"/>
    <n v="122200"/>
    <s v="In Stock"/>
    <x v="8"/>
  </r>
  <r>
    <s v="ORD-1084"/>
    <d v="2024-09-12T00:00:00"/>
    <s v="PRD-184"/>
    <s v="Protein Bar"/>
    <x v="3"/>
    <x v="7"/>
    <x v="3"/>
    <x v="3"/>
    <n v="390"/>
    <n v="112"/>
    <n v="98"/>
    <n v="188"/>
    <n v="2"/>
    <n v="18424"/>
    <s v="In Stock"/>
    <x v="8"/>
  </r>
  <r>
    <s v="ORD-1085"/>
    <d v="2024-09-15T00:00:00"/>
    <s v="PRD-185"/>
    <s v="Stapler"/>
    <x v="4"/>
    <x v="4"/>
    <x v="4"/>
    <x v="2"/>
    <n v="580"/>
    <n v="148"/>
    <n v="195"/>
    <n v="152"/>
    <n v="3"/>
    <n v="29640"/>
    <s v="In Stock"/>
    <x v="8"/>
  </r>
  <r>
    <s v="ORD-1086"/>
    <d v="2024-09-18T00:00:00"/>
    <s v="PRD-186"/>
    <s v="Work Gloves"/>
    <x v="5"/>
    <x v="5"/>
    <x v="0"/>
    <x v="0"/>
    <n v="240"/>
    <n v="78"/>
    <n v="55"/>
    <n v="360"/>
    <n v="5"/>
    <n v="19800"/>
    <s v="In Stock"/>
    <x v="8"/>
  </r>
  <r>
    <s v="ORD-1087"/>
    <d v="2024-09-21T00:00:00"/>
    <s v="PRD-187"/>
    <s v="Smartphone"/>
    <x v="0"/>
    <x v="0"/>
    <x v="1"/>
    <x v="1"/>
    <n v="50"/>
    <n v="26"/>
    <n v="20"/>
    <n v="34000"/>
    <n v="6"/>
    <n v="680000"/>
    <s v="In Stock"/>
    <x v="8"/>
  </r>
  <r>
    <s v="ORD-1088"/>
    <d v="2024-09-24T00:00:00"/>
    <s v="PRD-188"/>
    <s v="Conference Table"/>
    <x v="1"/>
    <x v="1"/>
    <x v="2"/>
    <x v="2"/>
    <n v="10"/>
    <n v="6"/>
    <n v="2"/>
    <n v="37000"/>
    <n v="18"/>
    <n v="74000"/>
    <s v="In Stock"/>
    <x v="8"/>
  </r>
  <r>
    <s v="ORD-1089"/>
    <d v="2024-09-27T00:00:00"/>
    <s v="PRD-189"/>
    <s v="Blazer"/>
    <x v="2"/>
    <x v="2"/>
    <x v="3"/>
    <x v="3"/>
    <n v="108"/>
    <n v="34"/>
    <n v="26"/>
    <n v="4700"/>
    <n v="5"/>
    <n v="122200"/>
    <s v="In Stock"/>
    <x v="8"/>
  </r>
  <r>
    <s v="ORD-1090"/>
    <d v="2024-09-30T00:00:00"/>
    <s v="PRD-190"/>
    <s v="Instant Noodles"/>
    <x v="3"/>
    <x v="3"/>
    <x v="4"/>
    <x v="2"/>
    <n v="620"/>
    <n v="190"/>
    <n v="220"/>
    <n v="64"/>
    <n v="1"/>
    <n v="14080"/>
    <s v="In Stock"/>
    <x v="8"/>
  </r>
  <r>
    <s v="ORD-1091"/>
    <d v="2024-10-03T00:00:00"/>
    <s v="PRD-191"/>
    <s v="Tablet"/>
    <x v="0"/>
    <x v="6"/>
    <x v="0"/>
    <x v="0"/>
    <n v="68"/>
    <n v="23"/>
    <n v="16"/>
    <n v="24000"/>
    <n v="7"/>
    <n v="384000"/>
    <s v="In Stock"/>
    <x v="9"/>
  </r>
  <r>
    <s v="ORD-1092"/>
    <d v="2024-10-07T00:00:00"/>
    <s v="PRD-192"/>
    <s v="Office Chair"/>
    <x v="1"/>
    <x v="7"/>
    <x v="1"/>
    <x v="1"/>
    <n v="92"/>
    <n v="34"/>
    <n v="22"/>
    <n v="9200"/>
    <n v="10"/>
    <n v="202400"/>
    <s v="In Stock"/>
    <x v="9"/>
  </r>
  <r>
    <s v="ORD-1093"/>
    <d v="2024-10-10T00:00:00"/>
    <s v="PRD-193"/>
    <s v="Winter Jacket"/>
    <x v="2"/>
    <x v="4"/>
    <x v="2"/>
    <x v="2"/>
    <n v="155"/>
    <n v="55"/>
    <n v="36"/>
    <n v="3600"/>
    <n v="5"/>
    <n v="129600"/>
    <s v="In Stock"/>
    <x v="9"/>
  </r>
  <r>
    <s v="ORD-1094"/>
    <d v="2024-10-14T00:00:00"/>
    <s v="PRD-194"/>
    <s v="Coffee Beans"/>
    <x v="3"/>
    <x v="5"/>
    <x v="3"/>
    <x v="3"/>
    <n v="240"/>
    <n v="85"/>
    <n v="60"/>
    <n v="640"/>
    <n v="3"/>
    <n v="38400"/>
    <s v="In Stock"/>
    <x v="9"/>
  </r>
  <r>
    <s v="ORD-1095"/>
    <d v="2024-10-17T00:00:00"/>
    <s v="PRD-195"/>
    <s v="Whiteboard Marker"/>
    <x v="4"/>
    <x v="0"/>
    <x v="4"/>
    <x v="2"/>
    <n v="420"/>
    <n v="118"/>
    <n v="165"/>
    <n v="92"/>
    <n v="2"/>
    <n v="15180"/>
    <s v="In Stock"/>
    <x v="9"/>
  </r>
  <r>
    <s v="ORD-1096"/>
    <d v="2024-10-20T00:00:00"/>
    <s v="PRD-196"/>
    <s v="Safety Boots"/>
    <x v="5"/>
    <x v="1"/>
    <x v="0"/>
    <x v="0"/>
    <n v="55"/>
    <n v="23"/>
    <n v="10"/>
    <n v="2900"/>
    <n v="7"/>
    <n v="29000"/>
    <s v="In Stock"/>
    <x v="9"/>
  </r>
  <r>
    <s v="ORD-1097"/>
    <d v="2024-10-23T00:00:00"/>
    <s v="PRD-197"/>
    <s v="Monitor"/>
    <x v="0"/>
    <x v="2"/>
    <x v="1"/>
    <x v="1"/>
    <n v="40"/>
    <n v="18"/>
    <n v="14"/>
    <n v="19000"/>
    <n v="8"/>
    <n v="266000"/>
    <s v="In Stock"/>
    <x v="9"/>
  </r>
  <r>
    <s v="ORD-1098"/>
    <d v="2024-10-26T00:00:00"/>
    <s v="PRD-198"/>
    <s v="Bookshelf"/>
    <x v="1"/>
    <x v="3"/>
    <x v="2"/>
    <x v="2"/>
    <n v="62"/>
    <n v="23"/>
    <n v="15"/>
    <n v="5900"/>
    <n v="9"/>
    <n v="88500"/>
    <s v="In Stock"/>
    <x v="9"/>
  </r>
  <r>
    <s v="ORD-1099"/>
    <d v="2024-10-29T00:00:00"/>
    <s v="PRD-199"/>
    <s v="Sports Shoes"/>
    <x v="2"/>
    <x v="6"/>
    <x v="3"/>
    <x v="3"/>
    <n v="145"/>
    <n v="50"/>
    <n v="34"/>
    <n v="3000"/>
    <n v="5"/>
    <n v="102000"/>
    <s v="In Stock"/>
    <x v="9"/>
  </r>
  <r>
    <s v="ORD-1100"/>
    <d v="2024-10-31T00:00:00"/>
    <s v="PRD-200"/>
    <s v="Green Tea"/>
    <x v="3"/>
    <x v="7"/>
    <x v="4"/>
    <x v="2"/>
    <n v="340"/>
    <n v="95"/>
    <n v="75"/>
    <n v="480"/>
    <n v="3"/>
    <n v="36000"/>
    <s v="In Stock"/>
    <x v="9"/>
  </r>
  <r>
    <s v="ORD-1101"/>
    <d v="2024-11-04T00:00:00"/>
    <s v="PRD-201"/>
    <s v="Keyboard"/>
    <x v="0"/>
    <x v="4"/>
    <x v="0"/>
    <x v="0"/>
    <n v="155"/>
    <n v="48"/>
    <n v="42"/>
    <n v="2700"/>
    <n v="5"/>
    <n v="113400"/>
    <s v="In Stock"/>
    <x v="10"/>
  </r>
  <r>
    <s v="ORD-1102"/>
    <d v="2024-11-07T00:00:00"/>
    <s v="PRD-202"/>
    <s v="Sofa"/>
    <x v="1"/>
    <x v="5"/>
    <x v="1"/>
    <x v="1"/>
    <n v="22"/>
    <n v="10"/>
    <n v="6"/>
    <n v="28000"/>
    <n v="15"/>
    <n v="168000"/>
    <s v="In Stock"/>
    <x v="10"/>
  </r>
  <r>
    <s v="ORD-1103"/>
    <d v="2024-11-10T00:00:00"/>
    <s v="PRD-203"/>
    <s v="Formal Shirt"/>
    <x v="2"/>
    <x v="0"/>
    <x v="2"/>
    <x v="2"/>
    <n v="210"/>
    <n v="68"/>
    <n v="50"/>
    <n v="2000"/>
    <n v="4"/>
    <n v="100000"/>
    <s v="In Stock"/>
    <x v="10"/>
  </r>
  <r>
    <s v="ORD-1104"/>
    <d v="2024-11-13T00:00:00"/>
    <s v="PRD-204"/>
    <s v="Energy Drink"/>
    <x v="3"/>
    <x v="1"/>
    <x v="3"/>
    <x v="3"/>
    <n v="490"/>
    <n v="168"/>
    <n v="128"/>
    <n v="132"/>
    <n v="2"/>
    <n v="16896"/>
    <s v="In Stock"/>
    <x v="10"/>
  </r>
  <r>
    <s v="ORD-1105"/>
    <d v="2024-11-16T00:00:00"/>
    <s v="PRD-205"/>
    <s v="Tape Dispenser"/>
    <x v="4"/>
    <x v="2"/>
    <x v="4"/>
    <x v="2"/>
    <n v="320"/>
    <n v="98"/>
    <n v="112"/>
    <n v="122"/>
    <n v="2"/>
    <n v="13664"/>
    <s v="In Stock"/>
    <x v="10"/>
  </r>
  <r>
    <s v="ORD-1106"/>
    <d v="2024-11-19T00:00:00"/>
    <s v="PRD-206"/>
    <s v="Welding Mask"/>
    <x v="5"/>
    <x v="3"/>
    <x v="0"/>
    <x v="0"/>
    <n v="38"/>
    <n v="16"/>
    <n v="7"/>
    <n v="3300"/>
    <n v="8"/>
    <n v="23100"/>
    <s v="In Stock"/>
    <x v="10"/>
  </r>
  <r>
    <s v="ORD-1107"/>
    <d v="2024-11-22T00:00:00"/>
    <s v="PRD-207"/>
    <s v="Webcam"/>
    <x v="0"/>
    <x v="6"/>
    <x v="1"/>
    <x v="1"/>
    <n v="95"/>
    <n v="35"/>
    <n v="25"/>
    <n v="2400"/>
    <n v="5"/>
    <n v="60000"/>
    <s v="In Stock"/>
    <x v="10"/>
  </r>
  <r>
    <s v="ORD-1108"/>
    <d v="2024-11-25T00:00:00"/>
    <s v="PRD-208"/>
    <s v="Standing Desk"/>
    <x v="1"/>
    <x v="7"/>
    <x v="2"/>
    <x v="2"/>
    <n v="48"/>
    <n v="21"/>
    <n v="12"/>
    <n v="17000"/>
    <n v="12"/>
    <n v="204000"/>
    <s v="In Stock"/>
    <x v="10"/>
  </r>
  <r>
    <s v="ORD-1109"/>
    <d v="2024-11-28T00:00:00"/>
    <s v="PRD-209"/>
    <s v="Denim Jeans"/>
    <x v="2"/>
    <x v="4"/>
    <x v="3"/>
    <x v="3"/>
    <n v="255"/>
    <n v="75"/>
    <n v="62"/>
    <n v="2400"/>
    <n v="4"/>
    <n v="148800"/>
    <s v="In Stock"/>
    <x v="10"/>
  </r>
  <r>
    <s v="ORD-1110"/>
    <d v="2024-11-30T00:00:00"/>
    <s v="PRD-210"/>
    <s v="Mineral Water"/>
    <x v="3"/>
    <x v="5"/>
    <x v="4"/>
    <x v="2"/>
    <n v="880"/>
    <n v="268"/>
    <n v="340"/>
    <n v="46"/>
    <n v="1"/>
    <n v="15640"/>
    <s v="In Stock"/>
    <x v="10"/>
  </r>
  <r>
    <s v="ORD-1111"/>
    <d v="2024-12-03T00:00:00"/>
    <s v="PRD-211"/>
    <s v="Laptop"/>
    <x v="0"/>
    <x v="0"/>
    <x v="0"/>
    <x v="0"/>
    <n v="88"/>
    <n v="40"/>
    <n v="24"/>
    <n v="48000"/>
    <n v="7"/>
    <n v="1152000"/>
    <s v="In Stock"/>
    <x v="11"/>
  </r>
  <r>
    <s v="ORD-1112"/>
    <d v="2024-12-06T00:00:00"/>
    <s v="PRD-212"/>
    <s v="Filing Cabinet"/>
    <x v="1"/>
    <x v="1"/>
    <x v="1"/>
    <x v="1"/>
    <n v="28"/>
    <n v="13"/>
    <n v="6"/>
    <n v="7800"/>
    <n v="11"/>
    <n v="46800"/>
    <s v="In Stock"/>
    <x v="11"/>
  </r>
  <r>
    <s v="ORD-1113"/>
    <d v="2024-12-09T00:00:00"/>
    <s v="PRD-213"/>
    <s v="Polo T-Shirt"/>
    <x v="2"/>
    <x v="2"/>
    <x v="2"/>
    <x v="2"/>
    <n v="340"/>
    <n v="88"/>
    <n v="80"/>
    <n v="1000"/>
    <n v="3"/>
    <n v="80000"/>
    <s v="In Stock"/>
    <x v="11"/>
  </r>
  <r>
    <s v="ORD-1114"/>
    <d v="2024-12-12T00:00:00"/>
    <s v="PRD-214"/>
    <s v="Protein Bar"/>
    <x v="3"/>
    <x v="3"/>
    <x v="3"/>
    <x v="3"/>
    <n v="360"/>
    <n v="108"/>
    <n v="92"/>
    <n v="190"/>
    <n v="2"/>
    <n v="17480"/>
    <s v="In Stock"/>
    <x v="11"/>
  </r>
  <r>
    <s v="ORD-1115"/>
    <d v="2024-12-15T00:00:00"/>
    <s v="PRD-215"/>
    <s v="Scissors"/>
    <x v="4"/>
    <x v="6"/>
    <x v="4"/>
    <x v="2"/>
    <n v="460"/>
    <n v="125"/>
    <n v="148"/>
    <n v="112"/>
    <n v="2"/>
    <n v="16576"/>
    <s v="In Stock"/>
    <x v="11"/>
  </r>
  <r>
    <s v="ORD-1116"/>
    <d v="2024-12-18T00:00:00"/>
    <s v="PRD-216"/>
    <s v="Tool Kit"/>
    <x v="5"/>
    <x v="7"/>
    <x v="0"/>
    <x v="0"/>
    <n v="50"/>
    <n v="20"/>
    <n v="9"/>
    <n v="5600"/>
    <n v="8"/>
    <n v="50400"/>
    <s v="In Stock"/>
    <x v="11"/>
  </r>
  <r>
    <s v="ORD-1117"/>
    <d v="2024-12-21T00:00:00"/>
    <s v="PRD-217"/>
    <s v="Router"/>
    <x v="0"/>
    <x v="4"/>
    <x v="1"/>
    <x v="1"/>
    <n v="125"/>
    <n v="42"/>
    <n v="30"/>
    <n v="3700"/>
    <n v="5"/>
    <n v="111000"/>
    <s v="In Stock"/>
    <x v="11"/>
  </r>
  <r>
    <s v="ORD-1118"/>
    <d v="2024-12-24T00:00:00"/>
    <s v="PRD-218"/>
    <s v="Conference Table"/>
    <x v="1"/>
    <x v="5"/>
    <x v="2"/>
    <x v="2"/>
    <n v="8"/>
    <n v="5"/>
    <n v="2"/>
    <n v="38000"/>
    <n v="18"/>
    <n v="76000"/>
    <s v="In Stock"/>
    <x v="11"/>
  </r>
  <r>
    <s v="ORD-1119"/>
    <d v="2024-12-27T00:00:00"/>
    <s v="PRD-219"/>
    <s v="Blazer"/>
    <x v="2"/>
    <x v="0"/>
    <x v="3"/>
    <x v="3"/>
    <n v="115"/>
    <n v="36"/>
    <n v="28"/>
    <n v="4800"/>
    <n v="5"/>
    <n v="134400"/>
    <s v="In Stock"/>
    <x v="11"/>
  </r>
  <r>
    <s v="ORD-1120"/>
    <d v="2024-12-30T00:00:00"/>
    <s v="PRD-220"/>
    <s v="Instant Noodles"/>
    <x v="3"/>
    <x v="1"/>
    <x v="4"/>
    <x v="2"/>
    <n v="580"/>
    <n v="185"/>
    <n v="205"/>
    <n v="65"/>
    <n v="1"/>
    <n v="13325"/>
    <s v="In Stock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4F66A-5149-4E32-9C3E-092122E78959}" name="PivotTable4" cacheId="4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4:B27" firstHeaderRow="1" firstDataRow="1" firstDataCol="1"/>
  <pivotFields count="16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5" outline="0" showAll="0"/>
    <pivotField compact="0" numFmtId="164" outline="0" showAll="0"/>
    <pivotField dataField="1" compact="0" numFmtId="165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Revenue" fld="13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C6D50-FE78-4A68-965B-8843776BD4B1}" name="PivotTable6" cacheId="4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3:B40" firstHeaderRow="1" firstDataRow="1" firstDataCol="1"/>
  <pivotFields count="16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7">
        <item x="2"/>
        <item x="0"/>
        <item x="3"/>
        <item x="1"/>
        <item x="5"/>
        <item x="4"/>
        <item t="default"/>
      </items>
    </pivotField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5">
        <item x="3"/>
        <item x="1"/>
        <item x="2"/>
        <item x="0"/>
        <item t="default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5" outline="0" showAll="0"/>
    <pivotField compact="0" numFmtId="164" outline="0" showAll="0"/>
    <pivotField dataField="1" compact="0" numFmtId="165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Revenue" fld="13" baseField="0" baseItem="0" numFmtId="165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E62AD-2F24-471D-BD4F-6D0D760578ED}" name="PivotTable2" cacheId="4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9" firstHeaderRow="1" firstDataRow="1" firstDataCol="1"/>
  <pivotFields count="14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5" outline="0" showAll="0"/>
    <pivotField compact="0" numFmtId="164" outline="0" showAll="0"/>
    <pivotField compact="0" numFmtId="165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10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47EA7-2B89-4FF2-86F1-AE8C42AD5810}" name="PivotTable5" cacheId="4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4:E23" firstHeaderRow="1" firstDataRow="1" firstDataCol="1"/>
  <pivotFields count="16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5"/>
        <item x="2"/>
        <item x="1"/>
        <item x="4"/>
        <item x="3"/>
        <item x="0"/>
        <item x="6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5" outline="0" showAll="0"/>
    <pivotField dataField="1" compact="0" numFmtId="164" outline="0" showAll="0"/>
    <pivotField compact="0" numFmtId="165" outline="0" showAll="0"/>
    <pivotField compact="0" outline="0" showAll="0"/>
    <pivotField compact="0" outline="0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Lead Time (Days)" fld="12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9023ECBF-5E96-4E92-A7D0-0CAC99383BAD}" sourceName="Category">
  <pivotTables>
    <pivotTable tabId="4" name="PivotTable6"/>
  </pivotTables>
  <data>
    <tabular pivotCacheId="697731783">
      <items count="6">
        <i x="2" s="1"/>
        <i x="0" s="1"/>
        <i x="3" s="1"/>
        <i x="1" s="1"/>
        <i x="5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arehouse1" xr10:uid="{A64B8C81-20FB-42C5-A8E5-CFC2F3DBECA2}" sourceName="Warehouse">
  <pivotTables>
    <pivotTable tabId="4" name="PivotTable6"/>
  </pivotTables>
  <data>
    <tabular pivotCacheId="697731783">
      <items count="5">
        <i x="0" s="1"/>
        <i x="1" s="1"/>
        <i x="2" s="1"/>
        <i x="3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3B2CB8D4-70E9-4B99-AC89-0D76EE0335F7}" sourceName="Region">
  <pivotTables>
    <pivotTable tabId="4" name="PivotTable6"/>
  </pivotTables>
  <data>
    <tabular pivotCacheId="697731783">
      <items count="4">
        <i x="3" s="1"/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48E1A471-0A4A-46E6-ACD6-2579F3753248}" cache="Slicer_Category" caption="Category" rowHeight="228600"/>
  <slicer name="Warehouse 1" xr10:uid="{41B4EBC7-4AA3-4B7B-AEF0-1C61ACFB1580}" cache="Slicer_Warehouse1" caption="Warehouse" rowHeight="228600"/>
  <slicer name="Region 1" xr10:uid="{370D562E-5611-49B1-B158-6033B38743B0}" cache="Slicer_Region1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949A-DE10-46AC-B802-803C8CED785D}">
  <dimension ref="A1:O17"/>
  <sheetViews>
    <sheetView tabSelected="1" workbookViewId="0">
      <selection activeCell="H11" sqref="H11"/>
    </sheetView>
  </sheetViews>
  <sheetFormatPr defaultRowHeight="15"/>
  <cols>
    <col min="1" max="1" width="14.42578125" customWidth="1"/>
    <col min="2" max="2" width="12.42578125" customWidth="1"/>
    <col min="3" max="3" width="13.85546875" customWidth="1"/>
    <col min="5" max="5" width="9.5703125" customWidth="1"/>
    <col min="6" max="6" width="11.85546875" customWidth="1"/>
    <col min="7" max="7" width="22.5703125" customWidth="1"/>
    <col min="8" max="8" width="21.7109375" customWidth="1"/>
    <col min="9" max="9" width="15" customWidth="1"/>
    <col min="15" max="15" width="10.85546875" customWidth="1"/>
  </cols>
  <sheetData>
    <row r="1" spans="1:15" ht="30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>
      <c r="A2" s="10"/>
    </row>
    <row r="3" spans="1:15" ht="21">
      <c r="A3" s="15" t="s">
        <v>1</v>
      </c>
      <c r="B3" s="15"/>
      <c r="C3" s="15"/>
      <c r="E3" s="18" t="s">
        <v>2</v>
      </c>
      <c r="F3" s="18"/>
      <c r="G3" s="18"/>
      <c r="I3" s="15" t="s">
        <v>3</v>
      </c>
      <c r="J3" s="15"/>
      <c r="K3" s="15"/>
      <c r="M3" s="15" t="s">
        <v>4</v>
      </c>
      <c r="N3" s="15"/>
      <c r="O3" s="15"/>
    </row>
    <row r="4" spans="1:15" ht="15.75">
      <c r="A4" s="17">
        <f>'KPI Summary'!B2</f>
        <v>17229495</v>
      </c>
      <c r="B4" s="17"/>
      <c r="C4" s="17"/>
      <c r="E4" s="19">
        <f>'KPI Summary'!B3</f>
        <v>8254</v>
      </c>
      <c r="F4" s="17"/>
      <c r="G4" s="17"/>
      <c r="I4" s="19">
        <f>'KPI Summary'!B7</f>
        <v>0</v>
      </c>
      <c r="J4" s="17"/>
      <c r="K4" s="17"/>
      <c r="M4" s="16">
        <f>'KPI Summary'!B6</f>
        <v>5.9666666666666668</v>
      </c>
      <c r="N4" s="17"/>
      <c r="O4" s="17"/>
    </row>
    <row r="6" spans="1:15" ht="21">
      <c r="H6" s="13"/>
      <c r="I6" s="13"/>
      <c r="J6" s="13"/>
    </row>
    <row r="7" spans="1:15" ht="21">
      <c r="G7" s="12" t="s">
        <v>5</v>
      </c>
      <c r="H7" s="12"/>
      <c r="I7" s="3"/>
    </row>
    <row r="8" spans="1:15">
      <c r="G8" t="s">
        <v>6</v>
      </c>
      <c r="H8" s="5">
        <v>15000000</v>
      </c>
      <c r="I8" s="3"/>
    </row>
    <row r="9" spans="1:15">
      <c r="G9" t="s">
        <v>7</v>
      </c>
      <c r="H9">
        <f>'KPI Summary'!B2</f>
        <v>17229495</v>
      </c>
      <c r="I9" s="3"/>
    </row>
    <row r="10" spans="1:15">
      <c r="G10" t="s">
        <v>8</v>
      </c>
      <c r="H10" s="11">
        <f>H9/H8</f>
        <v>1.148633</v>
      </c>
      <c r="I10" s="3"/>
    </row>
    <row r="11" spans="1:15">
      <c r="G11" t="s">
        <v>9</v>
      </c>
      <c r="H11" s="28">
        <f>H9-H8</f>
        <v>2229495</v>
      </c>
      <c r="I11" s="3"/>
    </row>
    <row r="12" spans="1:15">
      <c r="I12" s="3"/>
    </row>
    <row r="13" spans="1:15" ht="21">
      <c r="G13" s="22" t="s">
        <v>10</v>
      </c>
      <c r="H13" s="23"/>
      <c r="I13" s="3"/>
    </row>
    <row r="14" spans="1:15">
      <c r="G14" s="24" t="s">
        <v>11</v>
      </c>
      <c r="H14" s="25">
        <f>SUMIF('Raw Data'!H2:H121,"North",'Raw Data'!N2:N121)</f>
        <v>6390300</v>
      </c>
    </row>
    <row r="15" spans="1:15">
      <c r="G15" s="24" t="s">
        <v>12</v>
      </c>
      <c r="H15" s="25">
        <f>SUMIF('Raw Data'!H2:H121,"South",'Raw Data'!N2:N121)</f>
        <v>3076700</v>
      </c>
    </row>
    <row r="16" spans="1:15">
      <c r="G16" s="24" t="s">
        <v>13</v>
      </c>
      <c r="H16" s="25">
        <f>SUMIF('Raw Data'!H2:H121,"East",'Raw Data'!N2:N121)</f>
        <v>1679495</v>
      </c>
    </row>
    <row r="17" spans="7:8">
      <c r="G17" s="26" t="s">
        <v>14</v>
      </c>
      <c r="H17" s="27">
        <f>SUMIF('Raw Data'!H2:H121,"West",'Raw Data'!N2:N121)</f>
        <v>6083000</v>
      </c>
    </row>
  </sheetData>
  <mergeCells count="10">
    <mergeCell ref="G13:H13"/>
    <mergeCell ref="A1:O1"/>
    <mergeCell ref="M3:O3"/>
    <mergeCell ref="M4:O4"/>
    <mergeCell ref="A3:C3"/>
    <mergeCell ref="A4:C4"/>
    <mergeCell ref="E3:G3"/>
    <mergeCell ref="E4:G4"/>
    <mergeCell ref="I3:K3"/>
    <mergeCell ref="I4:K4"/>
  </mergeCells>
  <conditionalFormatting sqref="H10">
    <cfRule type="cellIs" dxfId="4" priority="7" stopIfTrue="1" operator="greaterThan">
      <formula>1</formula>
    </cfRule>
  </conditionalFormatting>
  <conditionalFormatting sqref="H10">
    <cfRule type="cellIs" dxfId="3" priority="6" operator="lessThan">
      <formula>1</formula>
    </cfRule>
  </conditionalFormatting>
  <conditionalFormatting sqref="H1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{D010A5CC-0069-4804-A5E2-AFA19FF04B5B}</x14:id>
        </ext>
      </extLst>
    </cfRule>
  </conditionalFormatting>
  <conditionalFormatting sqref="H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{D70E9796-48D9-41A9-8607-41C9FFA5CF90}</x14:id>
        </ext>
      </extLst>
    </cfRule>
  </conditionalFormatting>
  <conditionalFormatting sqref="H11">
    <cfRule type="cellIs" dxfId="2" priority="3" operator="greaterThan">
      <formula>0</formula>
    </cfRule>
  </conditionalFormatting>
  <conditionalFormatting sqref="H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{933963E1-B12C-4769-8E2F-0BD59AE7D9C8}</x14:id>
        </ext>
      </extLst>
    </cfRule>
  </conditionalFormatting>
  <conditionalFormatting sqref="H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{25CCDE92-AB0B-460F-8650-01D9D6A973EA}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10A5CC-0069-4804-A5E2-AFA19FF04B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</xm:sqref>
        </x14:conditionalFormatting>
        <x14:conditionalFormatting xmlns:xm="http://schemas.microsoft.com/office/excel/2006/main">
          <x14:cfRule type="dataBar" id="{D70E9796-48D9-41A9-8607-41C9FFA5C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H10</xm:sqref>
        </x14:conditionalFormatting>
        <x14:conditionalFormatting xmlns:xm="http://schemas.microsoft.com/office/excel/2006/main">
          <x14:cfRule type="dataBar" id="{933963E1-B12C-4769-8E2F-0BD59AE7D9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H11</xm:sqref>
        </x14:conditionalFormatting>
        <x14:conditionalFormatting xmlns:xm="http://schemas.microsoft.com/office/excel/2006/main">
          <x14:cfRule type="dataBar" id="{25CCDE92-AB0B-460F-8650-01D9D6A97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02E6-D0D9-4C97-8FB4-CC359FB4B26E}">
  <dimension ref="A1:F3"/>
  <sheetViews>
    <sheetView workbookViewId="0">
      <selection activeCell="B3" sqref="B3:F3"/>
    </sheetView>
  </sheetViews>
  <sheetFormatPr defaultRowHeight="15"/>
  <sheetData>
    <row r="1" spans="1:6" ht="21">
      <c r="A1" s="15" t="s">
        <v>15</v>
      </c>
      <c r="B1" s="15"/>
      <c r="C1" s="15"/>
      <c r="D1" s="15"/>
      <c r="E1" s="15"/>
      <c r="F1" s="15"/>
    </row>
    <row r="3" spans="1:6">
      <c r="A3" t="s">
        <v>16</v>
      </c>
      <c r="B3" s="21" t="str">
        <f>IF(COUNTIF('Raw Data'!O2:O121,"Low Stock")+COUNTIF('Raw Data'!O2:O121,"Out of Stock")=0,"✅ All items sufficiently stocked - No action needed!","⚠️ Items need reordering - See list below")</f>
        <v>✅ All items sufficiently stocked - No action needed!</v>
      </c>
      <c r="C3" s="21"/>
      <c r="D3" s="21"/>
      <c r="E3" s="21"/>
      <c r="F3" s="21"/>
    </row>
  </sheetData>
  <mergeCells count="2">
    <mergeCell ref="A1:F1"/>
    <mergeCell ref="B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BA03-0222-449B-8B69-A31ED241B866}">
  <dimension ref="A3:E40"/>
  <sheetViews>
    <sheetView topLeftCell="A30" workbookViewId="0">
      <selection activeCell="C30" sqref="C30"/>
    </sheetView>
  </sheetViews>
  <sheetFormatPr defaultRowHeight="15"/>
  <cols>
    <col min="1" max="1" width="16.5703125" bestFit="1" customWidth="1"/>
    <col min="2" max="2" width="20.28515625" bestFit="1" customWidth="1"/>
    <col min="4" max="4" width="17" bestFit="1" customWidth="1"/>
    <col min="5" max="5" width="26.140625" bestFit="1" customWidth="1"/>
  </cols>
  <sheetData>
    <row r="3" spans="1:5">
      <c r="D3" s="9" t="s">
        <v>17</v>
      </c>
      <c r="E3" t="s">
        <v>18</v>
      </c>
    </row>
    <row r="4" spans="1:5">
      <c r="D4" t="s">
        <v>19</v>
      </c>
      <c r="E4" s="2">
        <v>589</v>
      </c>
    </row>
    <row r="5" spans="1:5">
      <c r="D5" t="s">
        <v>20</v>
      </c>
      <c r="E5" s="2">
        <v>434</v>
      </c>
    </row>
    <row r="6" spans="1:5">
      <c r="D6" t="s">
        <v>21</v>
      </c>
      <c r="E6" s="2">
        <v>698</v>
      </c>
    </row>
    <row r="7" spans="1:5">
      <c r="D7" t="s">
        <v>22</v>
      </c>
      <c r="E7" s="2">
        <v>1723</v>
      </c>
    </row>
    <row r="8" spans="1:5">
      <c r="D8" t="s">
        <v>23</v>
      </c>
      <c r="E8" s="2">
        <v>4810</v>
      </c>
    </row>
    <row r="9" spans="1:5">
      <c r="D9" t="s">
        <v>24</v>
      </c>
      <c r="E9" s="2">
        <v>8254</v>
      </c>
    </row>
    <row r="14" spans="1:5">
      <c r="A14" s="9" t="s">
        <v>25</v>
      </c>
      <c r="B14" t="s">
        <v>26</v>
      </c>
      <c r="D14" s="9" t="s">
        <v>27</v>
      </c>
      <c r="E14" t="s">
        <v>28</v>
      </c>
    </row>
    <row r="15" spans="1:5">
      <c r="A15" t="s">
        <v>29</v>
      </c>
      <c r="B15" s="3">
        <v>2812000</v>
      </c>
      <c r="D15" t="s">
        <v>30</v>
      </c>
      <c r="E15" s="2">
        <v>7.4285714285714288</v>
      </c>
    </row>
    <row r="16" spans="1:5">
      <c r="A16" t="s">
        <v>31</v>
      </c>
      <c r="B16" s="3">
        <v>1159600</v>
      </c>
      <c r="D16" t="s">
        <v>32</v>
      </c>
      <c r="E16" s="2">
        <v>7.8666666666666663</v>
      </c>
    </row>
    <row r="17" spans="1:5">
      <c r="A17" t="s">
        <v>33</v>
      </c>
      <c r="B17" s="3">
        <v>810800</v>
      </c>
      <c r="D17" t="s">
        <v>34</v>
      </c>
      <c r="E17" s="2">
        <v>5.1333333333333337</v>
      </c>
    </row>
    <row r="18" spans="1:5">
      <c r="A18" t="s">
        <v>35</v>
      </c>
      <c r="B18" s="3">
        <v>960800</v>
      </c>
      <c r="D18" t="s">
        <v>36</v>
      </c>
      <c r="E18" s="2">
        <v>7.25</v>
      </c>
    </row>
    <row r="19" spans="1:5">
      <c r="A19" t="s">
        <v>37</v>
      </c>
      <c r="B19" s="3">
        <v>2471460</v>
      </c>
      <c r="D19" t="s">
        <v>38</v>
      </c>
      <c r="E19" s="2">
        <v>4.4666666666666668</v>
      </c>
    </row>
    <row r="20" spans="1:5">
      <c r="A20" t="s">
        <v>39</v>
      </c>
      <c r="B20" s="3">
        <v>1235935</v>
      </c>
      <c r="D20" t="s">
        <v>40</v>
      </c>
      <c r="E20" s="2">
        <v>6.4</v>
      </c>
    </row>
    <row r="21" spans="1:5">
      <c r="A21" t="s">
        <v>41</v>
      </c>
      <c r="B21" s="3">
        <v>783975</v>
      </c>
      <c r="D21" t="s">
        <v>42</v>
      </c>
      <c r="E21" s="2">
        <v>4.5625</v>
      </c>
    </row>
    <row r="22" spans="1:5">
      <c r="A22" t="s">
        <v>43</v>
      </c>
      <c r="B22" s="3">
        <v>1899620</v>
      </c>
      <c r="D22" t="s">
        <v>44</v>
      </c>
      <c r="E22" s="2">
        <v>4.6428571428571432</v>
      </c>
    </row>
    <row r="23" spans="1:5">
      <c r="A23" t="s">
        <v>45</v>
      </c>
      <c r="B23" s="3">
        <v>1242744</v>
      </c>
      <c r="D23" t="s">
        <v>24</v>
      </c>
      <c r="E23" s="2">
        <v>5.9666666666666668</v>
      </c>
    </row>
    <row r="24" spans="1:5">
      <c r="A24" t="s">
        <v>46</v>
      </c>
      <c r="B24" s="3">
        <v>1291080</v>
      </c>
    </row>
    <row r="25" spans="1:5">
      <c r="A25" t="s">
        <v>47</v>
      </c>
      <c r="B25" s="3">
        <v>863500</v>
      </c>
    </row>
    <row r="26" spans="1:5">
      <c r="A26" t="s">
        <v>48</v>
      </c>
      <c r="B26" s="3">
        <v>1697981</v>
      </c>
    </row>
    <row r="27" spans="1:5">
      <c r="A27" t="s">
        <v>24</v>
      </c>
      <c r="B27" s="3">
        <v>17229495</v>
      </c>
    </row>
    <row r="33" spans="1:2">
      <c r="A33" s="9" t="s">
        <v>49</v>
      </c>
      <c r="B33" t="s">
        <v>26</v>
      </c>
    </row>
    <row r="34" spans="1:2">
      <c r="A34" t="s">
        <v>50</v>
      </c>
      <c r="B34" s="3">
        <v>2536990</v>
      </c>
    </row>
    <row r="35" spans="1:2">
      <c r="A35" t="s">
        <v>51</v>
      </c>
      <c r="B35" s="3">
        <v>10419200</v>
      </c>
    </row>
    <row r="36" spans="1:2">
      <c r="A36" t="s">
        <v>52</v>
      </c>
      <c r="B36" s="3">
        <v>588860</v>
      </c>
    </row>
    <row r="37" spans="1:2">
      <c r="A37" t="s">
        <v>53</v>
      </c>
      <c r="B37" s="3">
        <v>2989000</v>
      </c>
    </row>
    <row r="38" spans="1:2">
      <c r="A38" t="s">
        <v>54</v>
      </c>
      <c r="B38" s="3">
        <v>435900</v>
      </c>
    </row>
    <row r="39" spans="1:2">
      <c r="A39" t="s">
        <v>55</v>
      </c>
      <c r="B39" s="3">
        <v>259545</v>
      </c>
    </row>
    <row r="40" spans="1:2">
      <c r="A40" t="s">
        <v>24</v>
      </c>
      <c r="B40" s="3">
        <v>17229495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B85E-58F6-4EB1-BBA2-D34A7F161377}">
  <dimension ref="A1:R121"/>
  <sheetViews>
    <sheetView workbookViewId="0">
      <pane ySplit="1" topLeftCell="A2" activePane="bottomLeft" state="frozen"/>
      <selection pane="bottomLeft" sqref="A1:P121"/>
    </sheetView>
  </sheetViews>
  <sheetFormatPr defaultRowHeight="15"/>
  <cols>
    <col min="1" max="1" width="10.7109375" customWidth="1"/>
    <col min="2" max="2" width="11.7109375" style="1" customWidth="1"/>
    <col min="3" max="3" width="10.42578125" customWidth="1"/>
    <col min="4" max="4" width="15.140625" customWidth="1"/>
    <col min="5" max="5" width="18.140625" customWidth="1"/>
    <col min="6" max="6" width="17.85546875" customWidth="1"/>
    <col min="7" max="7" width="27.42578125" customWidth="1"/>
    <col min="8" max="8" width="8.7109375" customWidth="1"/>
    <col min="9" max="9" width="14.42578125" style="2" customWidth="1"/>
    <col min="10" max="10" width="13.140625" style="2" customWidth="1"/>
    <col min="11" max="11" width="10" style="2" customWidth="1"/>
    <col min="12" max="12" width="10.7109375" style="3" customWidth="1"/>
    <col min="13" max="13" width="15.28515625" style="2" customWidth="1"/>
    <col min="14" max="14" width="13.5703125" style="3" customWidth="1"/>
    <col min="15" max="15" width="12.42578125" customWidth="1"/>
    <col min="16" max="16" width="16.7109375" bestFit="1" customWidth="1"/>
  </cols>
  <sheetData>
    <row r="1" spans="1:18">
      <c r="A1" t="s">
        <v>56</v>
      </c>
      <c r="B1" s="1" t="s">
        <v>57</v>
      </c>
      <c r="C1" t="s">
        <v>58</v>
      </c>
      <c r="D1" t="s">
        <v>59</v>
      </c>
      <c r="E1" t="s">
        <v>49</v>
      </c>
      <c r="F1" t="s">
        <v>27</v>
      </c>
      <c r="G1" t="s">
        <v>17</v>
      </c>
      <c r="H1" t="s">
        <v>60</v>
      </c>
      <c r="I1" s="2" t="s">
        <v>61</v>
      </c>
      <c r="J1" s="2" t="s">
        <v>62</v>
      </c>
      <c r="K1" s="2" t="s">
        <v>63</v>
      </c>
      <c r="L1" s="3" t="s">
        <v>64</v>
      </c>
      <c r="M1" s="2" t="s">
        <v>65</v>
      </c>
      <c r="N1" s="3" t="s">
        <v>66</v>
      </c>
      <c r="O1" t="s">
        <v>67</v>
      </c>
      <c r="P1" t="s">
        <v>25</v>
      </c>
    </row>
    <row r="2" spans="1:18" ht="30.75">
      <c r="A2" t="s">
        <v>68</v>
      </c>
      <c r="B2" s="1">
        <v>45294</v>
      </c>
      <c r="C2" t="s">
        <v>69</v>
      </c>
      <c r="D2" t="s">
        <v>70</v>
      </c>
      <c r="E2" t="s">
        <v>51</v>
      </c>
      <c r="F2" t="s">
        <v>42</v>
      </c>
      <c r="G2" t="s">
        <v>19</v>
      </c>
      <c r="H2" t="s">
        <v>14</v>
      </c>
      <c r="I2" s="2">
        <v>120</v>
      </c>
      <c r="J2" s="2">
        <v>50</v>
      </c>
      <c r="K2" s="2">
        <v>30</v>
      </c>
      <c r="L2" s="3">
        <v>45000</v>
      </c>
      <c r="M2" s="2">
        <v>7</v>
      </c>
      <c r="N2" s="3">
        <v>1350000</v>
      </c>
      <c r="O2" s="4" t="str">
        <f>IF(I2=0,"Out Of Stock",IF(I2&lt;=J2,"Low Stock","In Stock"))</f>
        <v>In Stock</v>
      </c>
      <c r="P2" t="str">
        <f>TEXT(B2,"MMM")</f>
        <v>Jan</v>
      </c>
      <c r="R2">
        <f>COUNTBLANK(E2:E121)</f>
        <v>0</v>
      </c>
    </row>
    <row r="3" spans="1:18">
      <c r="A3" t="s">
        <v>71</v>
      </c>
      <c r="B3" s="1">
        <v>45296</v>
      </c>
      <c r="C3" t="s">
        <v>72</v>
      </c>
      <c r="D3" t="s">
        <v>73</v>
      </c>
      <c r="E3" t="s">
        <v>53</v>
      </c>
      <c r="F3" t="s">
        <v>36</v>
      </c>
      <c r="G3" t="s">
        <v>20</v>
      </c>
      <c r="H3" t="s">
        <v>11</v>
      </c>
      <c r="I3" s="2">
        <v>80</v>
      </c>
      <c r="J3" s="2">
        <v>30</v>
      </c>
      <c r="K3" s="2">
        <v>15</v>
      </c>
      <c r="L3" s="3">
        <v>8500</v>
      </c>
      <c r="M3" s="2">
        <v>10</v>
      </c>
      <c r="N3" s="3">
        <v>127500</v>
      </c>
      <c r="O3" s="4" t="str">
        <f t="shared" ref="O3:O66" si="0">IF(I3=0,"Out Of Stock",IF(I3&lt;=J3,"Low Stock","In Stock"))</f>
        <v>In Stock</v>
      </c>
      <c r="P3" t="str">
        <f t="shared" ref="P3:P66" si="1">TEXT(B3,"MMM")</f>
        <v>Jan</v>
      </c>
    </row>
    <row r="4" spans="1:18">
      <c r="A4" t="s">
        <v>74</v>
      </c>
      <c r="B4" s="1">
        <v>45298</v>
      </c>
      <c r="C4" t="s">
        <v>75</v>
      </c>
      <c r="D4" t="s">
        <v>76</v>
      </c>
      <c r="E4" t="s">
        <v>50</v>
      </c>
      <c r="F4" t="s">
        <v>34</v>
      </c>
      <c r="G4" t="s">
        <v>21</v>
      </c>
      <c r="H4" t="s">
        <v>12</v>
      </c>
      <c r="I4" s="2">
        <v>200</v>
      </c>
      <c r="J4" s="2">
        <v>60</v>
      </c>
      <c r="K4" s="2">
        <v>45</v>
      </c>
      <c r="L4" s="3">
        <v>3200</v>
      </c>
      <c r="M4" s="2">
        <v>5</v>
      </c>
      <c r="N4" s="3">
        <v>144000</v>
      </c>
      <c r="O4" s="4" t="str">
        <f t="shared" si="0"/>
        <v>In Stock</v>
      </c>
      <c r="P4" t="str">
        <f t="shared" si="1"/>
        <v>Jan</v>
      </c>
    </row>
    <row r="5" spans="1:18">
      <c r="A5" t="s">
        <v>77</v>
      </c>
      <c r="B5" s="1">
        <v>45300</v>
      </c>
      <c r="C5" t="s">
        <v>78</v>
      </c>
      <c r="D5" t="s">
        <v>79</v>
      </c>
      <c r="E5" t="s">
        <v>52</v>
      </c>
      <c r="F5" t="s">
        <v>40</v>
      </c>
      <c r="G5" t="s">
        <v>22</v>
      </c>
      <c r="H5" t="s">
        <v>13</v>
      </c>
      <c r="I5" s="2">
        <v>350</v>
      </c>
      <c r="J5" s="2">
        <v>100</v>
      </c>
      <c r="K5" s="2">
        <v>80</v>
      </c>
      <c r="L5" s="3">
        <v>600</v>
      </c>
      <c r="M5" s="2">
        <v>3</v>
      </c>
      <c r="N5" s="3">
        <v>48000</v>
      </c>
      <c r="O5" s="4" t="str">
        <f t="shared" si="0"/>
        <v>In Stock</v>
      </c>
      <c r="P5" t="str">
        <f t="shared" si="1"/>
        <v>Jan</v>
      </c>
    </row>
    <row r="6" spans="1:18">
      <c r="A6" t="s">
        <v>80</v>
      </c>
      <c r="B6" s="1">
        <v>45303</v>
      </c>
      <c r="C6" t="s">
        <v>81</v>
      </c>
      <c r="D6" t="s">
        <v>82</v>
      </c>
      <c r="E6" t="s">
        <v>55</v>
      </c>
      <c r="F6" t="s">
        <v>38</v>
      </c>
      <c r="G6" t="s">
        <v>23</v>
      </c>
      <c r="H6" t="s">
        <v>12</v>
      </c>
      <c r="I6" s="2">
        <v>500</v>
      </c>
      <c r="J6" s="2">
        <v>150</v>
      </c>
      <c r="K6" s="2">
        <v>120</v>
      </c>
      <c r="L6" s="3">
        <v>250</v>
      </c>
      <c r="M6" s="2">
        <v>4</v>
      </c>
      <c r="N6" s="3">
        <v>30000</v>
      </c>
      <c r="O6" s="4" t="str">
        <f t="shared" si="0"/>
        <v>In Stock</v>
      </c>
      <c r="P6" t="str">
        <f t="shared" si="1"/>
        <v>Jan</v>
      </c>
    </row>
    <row r="7" spans="1:18">
      <c r="A7" t="s">
        <v>83</v>
      </c>
      <c r="B7" s="1">
        <v>45306</v>
      </c>
      <c r="C7" t="s">
        <v>84</v>
      </c>
      <c r="D7" t="s">
        <v>85</v>
      </c>
      <c r="E7" t="s">
        <v>54</v>
      </c>
      <c r="F7" t="s">
        <v>32</v>
      </c>
      <c r="G7" t="s">
        <v>19</v>
      </c>
      <c r="H7" t="s">
        <v>14</v>
      </c>
      <c r="I7" s="2">
        <v>90</v>
      </c>
      <c r="J7" s="2">
        <v>40</v>
      </c>
      <c r="K7" s="2">
        <v>20</v>
      </c>
      <c r="L7" s="3">
        <v>1200</v>
      </c>
      <c r="M7" s="2">
        <v>8</v>
      </c>
      <c r="N7" s="3">
        <v>24000</v>
      </c>
      <c r="O7" s="4" t="str">
        <f t="shared" si="0"/>
        <v>In Stock</v>
      </c>
      <c r="P7" t="str">
        <f t="shared" si="1"/>
        <v>Jan</v>
      </c>
    </row>
    <row r="8" spans="1:18">
      <c r="A8" t="s">
        <v>86</v>
      </c>
      <c r="B8" s="1">
        <v>45309</v>
      </c>
      <c r="C8" t="s">
        <v>87</v>
      </c>
      <c r="D8" t="s">
        <v>88</v>
      </c>
      <c r="E8" t="s">
        <v>51</v>
      </c>
      <c r="F8" t="s">
        <v>42</v>
      </c>
      <c r="G8" t="s">
        <v>20</v>
      </c>
      <c r="H8" t="s">
        <v>11</v>
      </c>
      <c r="I8" s="2">
        <v>60</v>
      </c>
      <c r="J8" s="2">
        <v>30</v>
      </c>
      <c r="K8" s="2">
        <v>25</v>
      </c>
      <c r="L8" s="3">
        <v>32000</v>
      </c>
      <c r="M8" s="2">
        <v>6</v>
      </c>
      <c r="N8" s="3">
        <v>800000</v>
      </c>
      <c r="O8" s="4" t="str">
        <f t="shared" si="0"/>
        <v>In Stock</v>
      </c>
      <c r="P8" t="str">
        <f t="shared" si="1"/>
        <v>Jan</v>
      </c>
    </row>
    <row r="9" spans="1:18">
      <c r="A9" t="s">
        <v>89</v>
      </c>
      <c r="B9" s="1">
        <v>45311</v>
      </c>
      <c r="C9" t="s">
        <v>90</v>
      </c>
      <c r="D9" t="s">
        <v>91</v>
      </c>
      <c r="E9" t="s">
        <v>53</v>
      </c>
      <c r="F9" t="s">
        <v>36</v>
      </c>
      <c r="G9" t="s">
        <v>21</v>
      </c>
      <c r="H9" t="s">
        <v>12</v>
      </c>
      <c r="I9" s="2">
        <v>40</v>
      </c>
      <c r="J9" s="2">
        <v>20</v>
      </c>
      <c r="K9" s="2">
        <v>10</v>
      </c>
      <c r="L9" s="3">
        <v>15000</v>
      </c>
      <c r="M9" s="2">
        <v>12</v>
      </c>
      <c r="N9" s="3">
        <v>150000</v>
      </c>
      <c r="O9" s="4" t="str">
        <f t="shared" si="0"/>
        <v>In Stock</v>
      </c>
      <c r="P9" t="str">
        <f t="shared" si="1"/>
        <v>Jan</v>
      </c>
    </row>
    <row r="10" spans="1:18">
      <c r="A10" t="s">
        <v>92</v>
      </c>
      <c r="B10" s="1">
        <v>45313</v>
      </c>
      <c r="C10" t="s">
        <v>93</v>
      </c>
      <c r="D10" t="s">
        <v>94</v>
      </c>
      <c r="E10" t="s">
        <v>50</v>
      </c>
      <c r="F10" t="s">
        <v>34</v>
      </c>
      <c r="G10" t="s">
        <v>22</v>
      </c>
      <c r="H10" t="s">
        <v>13</v>
      </c>
      <c r="I10" s="2">
        <v>150</v>
      </c>
      <c r="J10" s="2">
        <v>50</v>
      </c>
      <c r="K10" s="2">
        <v>35</v>
      </c>
      <c r="L10" s="3">
        <v>2800</v>
      </c>
      <c r="M10" s="2">
        <v>5</v>
      </c>
      <c r="N10" s="3">
        <v>98000</v>
      </c>
      <c r="O10" s="4" t="str">
        <f t="shared" si="0"/>
        <v>In Stock</v>
      </c>
      <c r="P10" t="str">
        <f t="shared" si="1"/>
        <v>Jan</v>
      </c>
    </row>
    <row r="11" spans="1:18">
      <c r="A11" t="s">
        <v>95</v>
      </c>
      <c r="B11" s="1">
        <v>45316</v>
      </c>
      <c r="C11" t="s">
        <v>96</v>
      </c>
      <c r="D11" t="s">
        <v>97</v>
      </c>
      <c r="E11" t="s">
        <v>52</v>
      </c>
      <c r="F11" t="s">
        <v>40</v>
      </c>
      <c r="G11" t="s">
        <v>23</v>
      </c>
      <c r="H11" t="s">
        <v>12</v>
      </c>
      <c r="I11" s="2">
        <v>400</v>
      </c>
      <c r="J11" s="2">
        <v>100</v>
      </c>
      <c r="K11" s="2">
        <v>90</v>
      </c>
      <c r="L11" s="3">
        <v>450</v>
      </c>
      <c r="M11" s="2">
        <v>3</v>
      </c>
      <c r="N11" s="3">
        <v>40500</v>
      </c>
      <c r="O11" s="4" t="str">
        <f t="shared" si="0"/>
        <v>In Stock</v>
      </c>
      <c r="P11" t="str">
        <f t="shared" si="1"/>
        <v>Jan</v>
      </c>
    </row>
    <row r="12" spans="1:18">
      <c r="A12" t="s">
        <v>98</v>
      </c>
      <c r="B12" s="1">
        <v>45323</v>
      </c>
      <c r="C12" t="s">
        <v>99</v>
      </c>
      <c r="D12" t="s">
        <v>100</v>
      </c>
      <c r="E12" t="s">
        <v>51</v>
      </c>
      <c r="F12" t="s">
        <v>44</v>
      </c>
      <c r="G12" t="s">
        <v>19</v>
      </c>
      <c r="H12" t="s">
        <v>14</v>
      </c>
      <c r="I12" s="2">
        <v>75</v>
      </c>
      <c r="J12" s="2">
        <v>25</v>
      </c>
      <c r="K12" s="2">
        <v>20</v>
      </c>
      <c r="L12" s="3">
        <v>22000</v>
      </c>
      <c r="M12" s="2">
        <v>7</v>
      </c>
      <c r="N12" s="3">
        <v>440000</v>
      </c>
      <c r="O12" s="4" t="str">
        <f t="shared" si="0"/>
        <v>In Stock</v>
      </c>
      <c r="P12" t="str">
        <f t="shared" si="1"/>
        <v>Feb</v>
      </c>
    </row>
    <row r="13" spans="1:18">
      <c r="A13" t="s">
        <v>101</v>
      </c>
      <c r="B13" s="1">
        <v>45325</v>
      </c>
      <c r="C13" t="s">
        <v>102</v>
      </c>
      <c r="D13" t="s">
        <v>103</v>
      </c>
      <c r="E13" t="s">
        <v>53</v>
      </c>
      <c r="F13" t="s">
        <v>30</v>
      </c>
      <c r="G13" t="s">
        <v>20</v>
      </c>
      <c r="H13" t="s">
        <v>11</v>
      </c>
      <c r="I13" s="2">
        <v>55</v>
      </c>
      <c r="J13" s="2">
        <v>20</v>
      </c>
      <c r="K13" s="2">
        <v>12</v>
      </c>
      <c r="L13" s="3">
        <v>5500</v>
      </c>
      <c r="M13" s="2">
        <v>9</v>
      </c>
      <c r="N13" s="3">
        <v>66000</v>
      </c>
      <c r="O13" s="4" t="str">
        <f t="shared" si="0"/>
        <v>In Stock</v>
      </c>
      <c r="P13" t="str">
        <f t="shared" si="1"/>
        <v>Feb</v>
      </c>
    </row>
    <row r="14" spans="1:18">
      <c r="A14" t="s">
        <v>104</v>
      </c>
      <c r="B14" s="1">
        <v>45328</v>
      </c>
      <c r="C14" t="s">
        <v>105</v>
      </c>
      <c r="D14" t="s">
        <v>106</v>
      </c>
      <c r="E14" t="s">
        <v>50</v>
      </c>
      <c r="F14" t="s">
        <v>38</v>
      </c>
      <c r="G14" t="s">
        <v>21</v>
      </c>
      <c r="H14" t="s">
        <v>12</v>
      </c>
      <c r="I14" s="2">
        <v>180</v>
      </c>
      <c r="J14" s="2">
        <v>60</v>
      </c>
      <c r="K14" s="2">
        <v>40</v>
      </c>
      <c r="L14" s="3">
        <v>1800</v>
      </c>
      <c r="M14" s="2">
        <v>4</v>
      </c>
      <c r="N14" s="3">
        <v>72000</v>
      </c>
      <c r="O14" s="4" t="str">
        <f t="shared" si="0"/>
        <v>In Stock</v>
      </c>
      <c r="P14" t="str">
        <f t="shared" si="1"/>
        <v>Feb</v>
      </c>
    </row>
    <row r="15" spans="1:18">
      <c r="A15" t="s">
        <v>107</v>
      </c>
      <c r="B15" s="1">
        <v>45330</v>
      </c>
      <c r="C15" t="s">
        <v>108</v>
      </c>
      <c r="D15" t="s">
        <v>109</v>
      </c>
      <c r="E15" t="s">
        <v>52</v>
      </c>
      <c r="F15" t="s">
        <v>32</v>
      </c>
      <c r="G15" t="s">
        <v>22</v>
      </c>
      <c r="H15" t="s">
        <v>13</v>
      </c>
      <c r="I15" s="2">
        <v>600</v>
      </c>
      <c r="J15" s="2">
        <v>200</v>
      </c>
      <c r="K15" s="2">
        <v>150</v>
      </c>
      <c r="L15" s="3">
        <v>120</v>
      </c>
      <c r="M15" s="2">
        <v>2</v>
      </c>
      <c r="N15" s="3">
        <v>18000</v>
      </c>
      <c r="O15" s="4" t="str">
        <f t="shared" si="0"/>
        <v>In Stock</v>
      </c>
      <c r="P15" t="str">
        <f t="shared" si="1"/>
        <v>Feb</v>
      </c>
    </row>
    <row r="16" spans="1:18">
      <c r="A16" t="s">
        <v>110</v>
      </c>
      <c r="B16" s="1">
        <v>45332</v>
      </c>
      <c r="C16" t="s">
        <v>111</v>
      </c>
      <c r="D16" t="s">
        <v>112</v>
      </c>
      <c r="E16" t="s">
        <v>55</v>
      </c>
      <c r="F16" t="s">
        <v>42</v>
      </c>
      <c r="G16" t="s">
        <v>23</v>
      </c>
      <c r="H16" t="s">
        <v>12</v>
      </c>
      <c r="I16" s="2">
        <v>800</v>
      </c>
      <c r="J16" s="2">
        <v>200</v>
      </c>
      <c r="K16" s="2">
        <v>300</v>
      </c>
      <c r="L16" s="3">
        <v>80</v>
      </c>
      <c r="M16" s="2">
        <v>2</v>
      </c>
      <c r="N16" s="3">
        <v>24000</v>
      </c>
      <c r="O16" s="4" t="str">
        <f t="shared" si="0"/>
        <v>In Stock</v>
      </c>
      <c r="P16" t="str">
        <f t="shared" si="1"/>
        <v>Feb</v>
      </c>
    </row>
    <row r="17" spans="1:16">
      <c r="A17" t="s">
        <v>113</v>
      </c>
      <c r="B17" s="1">
        <v>45335</v>
      </c>
      <c r="C17" t="s">
        <v>114</v>
      </c>
      <c r="D17" t="s">
        <v>115</v>
      </c>
      <c r="E17" t="s">
        <v>54</v>
      </c>
      <c r="F17" t="s">
        <v>36</v>
      </c>
      <c r="G17" t="s">
        <v>19</v>
      </c>
      <c r="H17" t="s">
        <v>14</v>
      </c>
      <c r="I17" s="2">
        <v>250</v>
      </c>
      <c r="J17" s="2">
        <v>80</v>
      </c>
      <c r="K17" s="2">
        <v>60</v>
      </c>
      <c r="L17" s="3">
        <v>350</v>
      </c>
      <c r="M17" s="2">
        <v>5</v>
      </c>
      <c r="N17" s="3">
        <v>21000</v>
      </c>
      <c r="O17" s="4" t="str">
        <f t="shared" si="0"/>
        <v>In Stock</v>
      </c>
      <c r="P17" t="str">
        <f t="shared" si="1"/>
        <v>Feb</v>
      </c>
    </row>
    <row r="18" spans="1:16">
      <c r="A18" t="s">
        <v>116</v>
      </c>
      <c r="B18" s="1">
        <v>45337</v>
      </c>
      <c r="C18" t="s">
        <v>117</v>
      </c>
      <c r="D18" t="s">
        <v>118</v>
      </c>
      <c r="E18" t="s">
        <v>51</v>
      </c>
      <c r="F18" t="s">
        <v>34</v>
      </c>
      <c r="G18" t="s">
        <v>20</v>
      </c>
      <c r="H18" t="s">
        <v>11</v>
      </c>
      <c r="I18" s="2">
        <v>45</v>
      </c>
      <c r="J18" s="2">
        <v>20</v>
      </c>
      <c r="K18" s="2">
        <v>18</v>
      </c>
      <c r="L18" s="3">
        <v>18000</v>
      </c>
      <c r="M18" s="2">
        <v>8</v>
      </c>
      <c r="N18" s="3">
        <v>324000</v>
      </c>
      <c r="O18" s="4" t="str">
        <f t="shared" si="0"/>
        <v>In Stock</v>
      </c>
      <c r="P18" t="str">
        <f t="shared" si="1"/>
        <v>Feb</v>
      </c>
    </row>
    <row r="19" spans="1:16">
      <c r="A19" t="s">
        <v>119</v>
      </c>
      <c r="B19" s="1">
        <v>45340</v>
      </c>
      <c r="C19" t="s">
        <v>120</v>
      </c>
      <c r="D19" t="s">
        <v>121</v>
      </c>
      <c r="E19" t="s">
        <v>53</v>
      </c>
      <c r="F19" t="s">
        <v>40</v>
      </c>
      <c r="G19" t="s">
        <v>21</v>
      </c>
      <c r="H19" t="s">
        <v>12</v>
      </c>
      <c r="I19" s="2">
        <v>30</v>
      </c>
      <c r="J19" s="2">
        <v>15</v>
      </c>
      <c r="K19" s="2">
        <v>8</v>
      </c>
      <c r="L19" s="3">
        <v>7200</v>
      </c>
      <c r="M19" s="2">
        <v>11</v>
      </c>
      <c r="N19" s="3">
        <v>57600</v>
      </c>
      <c r="O19" s="4" t="str">
        <f t="shared" si="0"/>
        <v>In Stock</v>
      </c>
      <c r="P19" t="str">
        <f t="shared" si="1"/>
        <v>Feb</v>
      </c>
    </row>
    <row r="20" spans="1:16">
      <c r="A20" t="s">
        <v>122</v>
      </c>
      <c r="B20" s="1">
        <v>45342</v>
      </c>
      <c r="C20" t="s">
        <v>123</v>
      </c>
      <c r="D20" t="s">
        <v>124</v>
      </c>
      <c r="E20" t="s">
        <v>50</v>
      </c>
      <c r="F20" t="s">
        <v>44</v>
      </c>
      <c r="G20" t="s">
        <v>22</v>
      </c>
      <c r="H20" t="s">
        <v>13</v>
      </c>
      <c r="I20" s="2">
        <v>220</v>
      </c>
      <c r="J20" s="2">
        <v>70</v>
      </c>
      <c r="K20" s="2">
        <v>55</v>
      </c>
      <c r="L20" s="3">
        <v>2200</v>
      </c>
      <c r="M20" s="2">
        <v>4</v>
      </c>
      <c r="N20" s="3">
        <v>121000</v>
      </c>
      <c r="O20" s="4" t="str">
        <f t="shared" si="0"/>
        <v>In Stock</v>
      </c>
      <c r="P20" t="str">
        <f t="shared" si="1"/>
        <v>Feb</v>
      </c>
    </row>
    <row r="21" spans="1:16">
      <c r="A21" t="s">
        <v>125</v>
      </c>
      <c r="B21" s="1">
        <v>45344</v>
      </c>
      <c r="C21" t="s">
        <v>126</v>
      </c>
      <c r="D21" t="s">
        <v>127</v>
      </c>
      <c r="E21" t="s">
        <v>52</v>
      </c>
      <c r="F21" t="s">
        <v>30</v>
      </c>
      <c r="G21" t="s">
        <v>23</v>
      </c>
      <c r="H21" t="s">
        <v>12</v>
      </c>
      <c r="I21" s="2">
        <v>1000</v>
      </c>
      <c r="J21" s="2">
        <v>300</v>
      </c>
      <c r="K21" s="2">
        <v>400</v>
      </c>
      <c r="L21" s="3">
        <v>40</v>
      </c>
      <c r="M21" s="2">
        <v>1</v>
      </c>
      <c r="N21" s="3">
        <v>16000</v>
      </c>
      <c r="O21" s="4" t="str">
        <f t="shared" si="0"/>
        <v>In Stock</v>
      </c>
      <c r="P21" t="str">
        <f t="shared" si="1"/>
        <v>Feb</v>
      </c>
    </row>
    <row r="22" spans="1:16">
      <c r="A22" t="s">
        <v>128</v>
      </c>
      <c r="B22" s="1">
        <v>45352</v>
      </c>
      <c r="C22" t="s">
        <v>129</v>
      </c>
      <c r="D22" t="s">
        <v>130</v>
      </c>
      <c r="E22" t="s">
        <v>51</v>
      </c>
      <c r="F22" t="s">
        <v>38</v>
      </c>
      <c r="G22" t="s">
        <v>19</v>
      </c>
      <c r="H22" t="s">
        <v>14</v>
      </c>
      <c r="I22" s="2">
        <v>160</v>
      </c>
      <c r="J22" s="2">
        <v>50</v>
      </c>
      <c r="K22" s="2">
        <v>45</v>
      </c>
      <c r="L22" s="3">
        <v>2500</v>
      </c>
      <c r="M22" s="2">
        <v>5</v>
      </c>
      <c r="N22" s="3">
        <v>112500</v>
      </c>
      <c r="O22" s="4" t="str">
        <f t="shared" si="0"/>
        <v>In Stock</v>
      </c>
      <c r="P22" t="str">
        <f t="shared" si="1"/>
        <v>Mar</v>
      </c>
    </row>
    <row r="23" spans="1:16">
      <c r="A23" t="s">
        <v>131</v>
      </c>
      <c r="B23" s="1">
        <v>45355</v>
      </c>
      <c r="C23" t="s">
        <v>132</v>
      </c>
      <c r="D23" t="s">
        <v>133</v>
      </c>
      <c r="E23" t="s">
        <v>53</v>
      </c>
      <c r="F23" t="s">
        <v>32</v>
      </c>
      <c r="G23" t="s">
        <v>20</v>
      </c>
      <c r="H23" t="s">
        <v>11</v>
      </c>
      <c r="I23" s="2">
        <v>25</v>
      </c>
      <c r="J23" s="2">
        <v>10</v>
      </c>
      <c r="K23" s="2">
        <v>6</v>
      </c>
      <c r="L23" s="3">
        <v>25000</v>
      </c>
      <c r="M23" s="2">
        <v>15</v>
      </c>
      <c r="N23" s="3">
        <v>150000</v>
      </c>
      <c r="O23" s="4" t="str">
        <f t="shared" si="0"/>
        <v>In Stock</v>
      </c>
      <c r="P23" t="str">
        <f t="shared" si="1"/>
        <v>Mar</v>
      </c>
    </row>
    <row r="24" spans="1:16">
      <c r="A24" t="s">
        <v>134</v>
      </c>
      <c r="B24" s="1">
        <v>45357</v>
      </c>
      <c r="C24" t="s">
        <v>135</v>
      </c>
      <c r="D24" t="s">
        <v>136</v>
      </c>
      <c r="E24" t="s">
        <v>50</v>
      </c>
      <c r="F24" t="s">
        <v>42</v>
      </c>
      <c r="G24" t="s">
        <v>21</v>
      </c>
      <c r="H24" t="s">
        <v>12</v>
      </c>
      <c r="I24" s="2">
        <v>300</v>
      </c>
      <c r="J24" s="2">
        <v>80</v>
      </c>
      <c r="K24" s="2">
        <v>70</v>
      </c>
      <c r="L24" s="3">
        <v>900</v>
      </c>
      <c r="M24" s="2">
        <v>3</v>
      </c>
      <c r="N24" s="3">
        <v>63000</v>
      </c>
      <c r="O24" s="4" t="str">
        <f t="shared" si="0"/>
        <v>In Stock</v>
      </c>
      <c r="P24" t="str">
        <f t="shared" si="1"/>
        <v>Mar</v>
      </c>
    </row>
    <row r="25" spans="1:16">
      <c r="A25" t="s">
        <v>137</v>
      </c>
      <c r="B25" s="1">
        <v>45360</v>
      </c>
      <c r="C25" t="s">
        <v>138</v>
      </c>
      <c r="D25" t="s">
        <v>139</v>
      </c>
      <c r="E25" t="s">
        <v>52</v>
      </c>
      <c r="F25" t="s">
        <v>36</v>
      </c>
      <c r="G25" t="s">
        <v>22</v>
      </c>
      <c r="H25" t="s">
        <v>13</v>
      </c>
      <c r="I25" s="2">
        <v>450</v>
      </c>
      <c r="J25" s="2">
        <v>120</v>
      </c>
      <c r="K25" s="2">
        <v>110</v>
      </c>
      <c r="L25" s="3">
        <v>180</v>
      </c>
      <c r="M25" s="2">
        <v>2</v>
      </c>
      <c r="N25" s="3">
        <v>19800</v>
      </c>
      <c r="O25" s="4" t="str">
        <f t="shared" si="0"/>
        <v>In Stock</v>
      </c>
      <c r="P25" t="str">
        <f t="shared" si="1"/>
        <v>Mar</v>
      </c>
    </row>
    <row r="26" spans="1:16">
      <c r="A26" t="s">
        <v>140</v>
      </c>
      <c r="B26" s="1">
        <v>45363</v>
      </c>
      <c r="C26" t="s">
        <v>141</v>
      </c>
      <c r="D26" t="s">
        <v>142</v>
      </c>
      <c r="E26" t="s">
        <v>55</v>
      </c>
      <c r="F26" t="s">
        <v>34</v>
      </c>
      <c r="G26" t="s">
        <v>23</v>
      </c>
      <c r="H26" t="s">
        <v>12</v>
      </c>
      <c r="I26" s="2">
        <v>600</v>
      </c>
      <c r="J26" s="2">
        <v>150</v>
      </c>
      <c r="K26" s="2">
        <v>200</v>
      </c>
      <c r="L26" s="3">
        <v>150</v>
      </c>
      <c r="M26" s="2">
        <v>3</v>
      </c>
      <c r="N26" s="3">
        <v>30000</v>
      </c>
      <c r="O26" s="4" t="str">
        <f t="shared" si="0"/>
        <v>In Stock</v>
      </c>
      <c r="P26" t="str">
        <f t="shared" si="1"/>
        <v>Mar</v>
      </c>
    </row>
    <row r="27" spans="1:16">
      <c r="A27" t="s">
        <v>143</v>
      </c>
      <c r="B27" s="1">
        <v>45366</v>
      </c>
      <c r="C27" t="s">
        <v>144</v>
      </c>
      <c r="D27" t="s">
        <v>145</v>
      </c>
      <c r="E27" t="s">
        <v>54</v>
      </c>
      <c r="F27" t="s">
        <v>40</v>
      </c>
      <c r="G27" t="s">
        <v>19</v>
      </c>
      <c r="H27" t="s">
        <v>14</v>
      </c>
      <c r="I27" s="2">
        <v>70</v>
      </c>
      <c r="J27" s="2">
        <v>30</v>
      </c>
      <c r="K27" s="2">
        <v>15</v>
      </c>
      <c r="L27" s="3">
        <v>4500</v>
      </c>
      <c r="M27" s="2">
        <v>7</v>
      </c>
      <c r="N27" s="3">
        <v>67500</v>
      </c>
      <c r="O27" s="4" t="str">
        <f t="shared" si="0"/>
        <v>In Stock</v>
      </c>
      <c r="P27" t="str">
        <f t="shared" si="1"/>
        <v>Mar</v>
      </c>
    </row>
    <row r="28" spans="1:16">
      <c r="A28" t="s">
        <v>146</v>
      </c>
      <c r="B28" s="1">
        <v>45369</v>
      </c>
      <c r="C28" t="s">
        <v>147</v>
      </c>
      <c r="D28" t="s">
        <v>148</v>
      </c>
      <c r="E28" t="s">
        <v>51</v>
      </c>
      <c r="F28" t="s">
        <v>44</v>
      </c>
      <c r="G28" t="s">
        <v>20</v>
      </c>
      <c r="H28" t="s">
        <v>11</v>
      </c>
      <c r="I28" s="2">
        <v>110</v>
      </c>
      <c r="J28" s="2">
        <v>40</v>
      </c>
      <c r="K28" s="2">
        <v>30</v>
      </c>
      <c r="L28" s="3">
        <v>3800</v>
      </c>
      <c r="M28" s="2">
        <v>6</v>
      </c>
      <c r="N28" s="3">
        <v>114000</v>
      </c>
      <c r="O28" s="4" t="str">
        <f t="shared" si="0"/>
        <v>In Stock</v>
      </c>
      <c r="P28" t="str">
        <f t="shared" si="1"/>
        <v>Mar</v>
      </c>
    </row>
    <row r="29" spans="1:16">
      <c r="A29" t="s">
        <v>149</v>
      </c>
      <c r="B29" s="1">
        <v>45371</v>
      </c>
      <c r="C29" t="s">
        <v>150</v>
      </c>
      <c r="D29" t="s">
        <v>151</v>
      </c>
      <c r="E29" t="s">
        <v>53</v>
      </c>
      <c r="F29" t="s">
        <v>30</v>
      </c>
      <c r="G29" t="s">
        <v>21</v>
      </c>
      <c r="H29" t="s">
        <v>12</v>
      </c>
      <c r="I29" s="2">
        <v>15</v>
      </c>
      <c r="J29" s="2">
        <v>8</v>
      </c>
      <c r="K29" s="2">
        <v>4</v>
      </c>
      <c r="L29" s="3">
        <v>35000</v>
      </c>
      <c r="M29" s="2">
        <v>18</v>
      </c>
      <c r="N29" s="3">
        <v>140000</v>
      </c>
      <c r="O29" s="4" t="str">
        <f t="shared" si="0"/>
        <v>In Stock</v>
      </c>
      <c r="P29" t="str">
        <f t="shared" si="1"/>
        <v>Mar</v>
      </c>
    </row>
    <row r="30" spans="1:16">
      <c r="A30" t="s">
        <v>152</v>
      </c>
      <c r="B30" s="1">
        <v>45373</v>
      </c>
      <c r="C30" t="s">
        <v>153</v>
      </c>
      <c r="D30" t="s">
        <v>154</v>
      </c>
      <c r="E30" t="s">
        <v>50</v>
      </c>
      <c r="F30" t="s">
        <v>38</v>
      </c>
      <c r="G30" t="s">
        <v>22</v>
      </c>
      <c r="H30" t="s">
        <v>13</v>
      </c>
      <c r="I30" s="2">
        <v>90</v>
      </c>
      <c r="J30" s="2">
        <v>30</v>
      </c>
      <c r="K30" s="2">
        <v>22</v>
      </c>
      <c r="L30" s="3">
        <v>4500</v>
      </c>
      <c r="M30" s="2">
        <v>5</v>
      </c>
      <c r="N30" s="3">
        <v>99000</v>
      </c>
      <c r="O30" s="4" t="str">
        <f t="shared" si="0"/>
        <v>In Stock</v>
      </c>
      <c r="P30" t="str">
        <f t="shared" si="1"/>
        <v>Mar</v>
      </c>
    </row>
    <row r="31" spans="1:16">
      <c r="A31" t="s">
        <v>155</v>
      </c>
      <c r="B31" s="1">
        <v>45376</v>
      </c>
      <c r="C31" t="s">
        <v>156</v>
      </c>
      <c r="D31" t="s">
        <v>157</v>
      </c>
      <c r="E31" t="s">
        <v>52</v>
      </c>
      <c r="F31" t="s">
        <v>32</v>
      </c>
      <c r="G31" t="s">
        <v>23</v>
      </c>
      <c r="H31" t="s">
        <v>12</v>
      </c>
      <c r="I31" s="2">
        <v>700</v>
      </c>
      <c r="J31" s="2">
        <v>200</v>
      </c>
      <c r="K31" s="2">
        <v>250</v>
      </c>
      <c r="L31" s="3">
        <v>60</v>
      </c>
      <c r="M31" s="2">
        <v>1</v>
      </c>
      <c r="N31" s="3">
        <v>15000</v>
      </c>
      <c r="O31" s="4" t="str">
        <f t="shared" si="0"/>
        <v>In Stock</v>
      </c>
      <c r="P31" t="str">
        <f t="shared" si="1"/>
        <v>Mar</v>
      </c>
    </row>
    <row r="32" spans="1:16">
      <c r="A32" t="s">
        <v>158</v>
      </c>
      <c r="B32" s="1">
        <v>45384</v>
      </c>
      <c r="C32" t="s">
        <v>159</v>
      </c>
      <c r="D32" t="s">
        <v>160</v>
      </c>
      <c r="E32" t="s">
        <v>51</v>
      </c>
      <c r="F32" t="s">
        <v>42</v>
      </c>
      <c r="G32" t="s">
        <v>19</v>
      </c>
      <c r="H32" t="s">
        <v>14</v>
      </c>
      <c r="I32" s="2">
        <v>85</v>
      </c>
      <c r="J32" s="2">
        <v>30</v>
      </c>
      <c r="K32" s="2">
        <v>20</v>
      </c>
      <c r="L32" s="3">
        <v>2200</v>
      </c>
      <c r="M32" s="2">
        <v>5</v>
      </c>
      <c r="N32" s="3">
        <v>44000</v>
      </c>
      <c r="O32" s="4" t="str">
        <f t="shared" si="0"/>
        <v>In Stock</v>
      </c>
      <c r="P32" t="str">
        <f t="shared" si="1"/>
        <v>Apr</v>
      </c>
    </row>
    <row r="33" spans="1:16">
      <c r="A33" t="s">
        <v>161</v>
      </c>
      <c r="B33" s="1">
        <v>45387</v>
      </c>
      <c r="C33" t="s">
        <v>162</v>
      </c>
      <c r="D33" t="s">
        <v>73</v>
      </c>
      <c r="E33" t="s">
        <v>53</v>
      </c>
      <c r="F33" t="s">
        <v>36</v>
      </c>
      <c r="G33" t="s">
        <v>20</v>
      </c>
      <c r="H33" t="s">
        <v>11</v>
      </c>
      <c r="I33" s="2">
        <v>95</v>
      </c>
      <c r="J33" s="2">
        <v>35</v>
      </c>
      <c r="K33" s="2">
        <v>25</v>
      </c>
      <c r="L33" s="3">
        <v>8800</v>
      </c>
      <c r="M33" s="2">
        <v>10</v>
      </c>
      <c r="N33" s="3">
        <v>220000</v>
      </c>
      <c r="O33" s="4" t="str">
        <f t="shared" si="0"/>
        <v>In Stock</v>
      </c>
      <c r="P33" t="str">
        <f t="shared" si="1"/>
        <v>Apr</v>
      </c>
    </row>
    <row r="34" spans="1:16">
      <c r="A34" t="s">
        <v>163</v>
      </c>
      <c r="B34" s="1">
        <v>45390</v>
      </c>
      <c r="C34" t="s">
        <v>164</v>
      </c>
      <c r="D34" t="s">
        <v>76</v>
      </c>
      <c r="E34" t="s">
        <v>50</v>
      </c>
      <c r="F34" t="s">
        <v>34</v>
      </c>
      <c r="G34" t="s">
        <v>21</v>
      </c>
      <c r="H34" t="s">
        <v>12</v>
      </c>
      <c r="I34" s="2">
        <v>130</v>
      </c>
      <c r="J34" s="2">
        <v>50</v>
      </c>
      <c r="K34" s="2">
        <v>30</v>
      </c>
      <c r="L34" s="3">
        <v>3400</v>
      </c>
      <c r="M34" s="2">
        <v>5</v>
      </c>
      <c r="N34" s="3">
        <v>102000</v>
      </c>
      <c r="O34" s="4" t="str">
        <f t="shared" si="0"/>
        <v>In Stock</v>
      </c>
      <c r="P34" t="str">
        <f t="shared" si="1"/>
        <v>Apr</v>
      </c>
    </row>
    <row r="35" spans="1:16">
      <c r="A35" t="s">
        <v>165</v>
      </c>
      <c r="B35" s="1">
        <v>45392</v>
      </c>
      <c r="C35" t="s">
        <v>166</v>
      </c>
      <c r="D35" t="s">
        <v>79</v>
      </c>
      <c r="E35" t="s">
        <v>52</v>
      </c>
      <c r="F35" t="s">
        <v>40</v>
      </c>
      <c r="G35" t="s">
        <v>22</v>
      </c>
      <c r="H35" t="s">
        <v>13</v>
      </c>
      <c r="I35" s="2">
        <v>280</v>
      </c>
      <c r="J35" s="2">
        <v>90</v>
      </c>
      <c r="K35" s="2">
        <v>70</v>
      </c>
      <c r="L35" s="3">
        <v>620</v>
      </c>
      <c r="M35" s="2">
        <v>3</v>
      </c>
      <c r="N35" s="3">
        <v>43400</v>
      </c>
      <c r="O35" s="4" t="str">
        <f t="shared" si="0"/>
        <v>In Stock</v>
      </c>
      <c r="P35" t="str">
        <f t="shared" si="1"/>
        <v>Apr</v>
      </c>
    </row>
    <row r="36" spans="1:16">
      <c r="A36" t="s">
        <v>167</v>
      </c>
      <c r="B36" s="1">
        <v>45395</v>
      </c>
      <c r="C36" t="s">
        <v>168</v>
      </c>
      <c r="D36" t="s">
        <v>169</v>
      </c>
      <c r="E36" t="s">
        <v>55</v>
      </c>
      <c r="F36" t="s">
        <v>44</v>
      </c>
      <c r="G36" t="s">
        <v>23</v>
      </c>
      <c r="H36" t="s">
        <v>12</v>
      </c>
      <c r="I36" s="2">
        <v>450</v>
      </c>
      <c r="J36" s="2">
        <v>120</v>
      </c>
      <c r="K36" s="2">
        <v>180</v>
      </c>
      <c r="L36" s="3">
        <v>90</v>
      </c>
      <c r="M36" s="2">
        <v>2</v>
      </c>
      <c r="N36" s="3">
        <v>16200</v>
      </c>
      <c r="O36" s="4" t="str">
        <f t="shared" si="0"/>
        <v>In Stock</v>
      </c>
      <c r="P36" t="str">
        <f t="shared" si="1"/>
        <v>Apr</v>
      </c>
    </row>
    <row r="37" spans="1:16">
      <c r="A37" t="s">
        <v>170</v>
      </c>
      <c r="B37" s="1">
        <v>45398</v>
      </c>
      <c r="C37" t="s">
        <v>171</v>
      </c>
      <c r="D37" t="s">
        <v>172</v>
      </c>
      <c r="E37" t="s">
        <v>54</v>
      </c>
      <c r="F37" t="s">
        <v>30</v>
      </c>
      <c r="G37" t="s">
        <v>19</v>
      </c>
      <c r="H37" t="s">
        <v>14</v>
      </c>
      <c r="I37" s="2">
        <v>60</v>
      </c>
      <c r="J37" s="2">
        <v>25</v>
      </c>
      <c r="K37" s="2">
        <v>12</v>
      </c>
      <c r="L37" s="3">
        <v>2800</v>
      </c>
      <c r="M37" s="2">
        <v>7</v>
      </c>
      <c r="N37" s="3">
        <v>33600</v>
      </c>
      <c r="O37" s="4" t="str">
        <f t="shared" si="0"/>
        <v>In Stock</v>
      </c>
      <c r="P37" t="str">
        <f t="shared" si="1"/>
        <v>Apr</v>
      </c>
    </row>
    <row r="38" spans="1:16">
      <c r="A38" t="s">
        <v>173</v>
      </c>
      <c r="B38" s="1">
        <v>45400</v>
      </c>
      <c r="C38" t="s">
        <v>174</v>
      </c>
      <c r="D38" t="s">
        <v>175</v>
      </c>
      <c r="E38" t="s">
        <v>51</v>
      </c>
      <c r="F38" t="s">
        <v>38</v>
      </c>
      <c r="G38" t="s">
        <v>20</v>
      </c>
      <c r="H38" t="s">
        <v>11</v>
      </c>
      <c r="I38" s="2">
        <v>140</v>
      </c>
      <c r="J38" s="2">
        <v>45</v>
      </c>
      <c r="K38" s="2">
        <v>35</v>
      </c>
      <c r="L38" s="3">
        <v>3500</v>
      </c>
      <c r="M38" s="2">
        <v>5</v>
      </c>
      <c r="N38" s="3">
        <v>122500</v>
      </c>
      <c r="O38" s="4" t="str">
        <f t="shared" si="0"/>
        <v>In Stock</v>
      </c>
      <c r="P38" t="str">
        <f t="shared" si="1"/>
        <v>Apr</v>
      </c>
    </row>
    <row r="39" spans="1:16">
      <c r="A39" t="s">
        <v>176</v>
      </c>
      <c r="B39" s="1">
        <v>45402</v>
      </c>
      <c r="C39" t="s">
        <v>177</v>
      </c>
      <c r="D39" t="s">
        <v>91</v>
      </c>
      <c r="E39" t="s">
        <v>53</v>
      </c>
      <c r="F39" t="s">
        <v>32</v>
      </c>
      <c r="G39" t="s">
        <v>21</v>
      </c>
      <c r="H39" t="s">
        <v>12</v>
      </c>
      <c r="I39" s="2">
        <v>50</v>
      </c>
      <c r="J39" s="2">
        <v>22</v>
      </c>
      <c r="K39" s="2">
        <v>14</v>
      </c>
      <c r="L39" s="3">
        <v>16000</v>
      </c>
      <c r="M39" s="2">
        <v>12</v>
      </c>
      <c r="N39" s="3">
        <v>224000</v>
      </c>
      <c r="O39" s="4" t="str">
        <f t="shared" si="0"/>
        <v>In Stock</v>
      </c>
      <c r="P39" t="str">
        <f t="shared" si="1"/>
        <v>Apr</v>
      </c>
    </row>
    <row r="40" spans="1:16">
      <c r="A40" t="s">
        <v>178</v>
      </c>
      <c r="B40" s="1">
        <v>45405</v>
      </c>
      <c r="C40" t="s">
        <v>179</v>
      </c>
      <c r="D40" t="s">
        <v>94</v>
      </c>
      <c r="E40" t="s">
        <v>50</v>
      </c>
      <c r="F40" t="s">
        <v>42</v>
      </c>
      <c r="G40" t="s">
        <v>22</v>
      </c>
      <c r="H40" t="s">
        <v>13</v>
      </c>
      <c r="I40" s="2">
        <v>175</v>
      </c>
      <c r="J40" s="2">
        <v>55</v>
      </c>
      <c r="K40" s="2">
        <v>40</v>
      </c>
      <c r="L40" s="3">
        <v>2900</v>
      </c>
      <c r="M40" s="2">
        <v>5</v>
      </c>
      <c r="N40" s="3">
        <v>116000</v>
      </c>
      <c r="O40" s="4" t="str">
        <f t="shared" si="0"/>
        <v>In Stock</v>
      </c>
      <c r="P40" t="str">
        <f t="shared" si="1"/>
        <v>Apr</v>
      </c>
    </row>
    <row r="41" spans="1:16">
      <c r="A41" t="s">
        <v>180</v>
      </c>
      <c r="B41" s="1">
        <v>45407</v>
      </c>
      <c r="C41" t="s">
        <v>181</v>
      </c>
      <c r="D41" t="s">
        <v>97</v>
      </c>
      <c r="E41" t="s">
        <v>52</v>
      </c>
      <c r="F41" t="s">
        <v>36</v>
      </c>
      <c r="G41" t="s">
        <v>23</v>
      </c>
      <c r="H41" t="s">
        <v>12</v>
      </c>
      <c r="I41" s="2">
        <v>380</v>
      </c>
      <c r="J41" s="2">
        <v>100</v>
      </c>
      <c r="K41" s="2">
        <v>85</v>
      </c>
      <c r="L41" s="3">
        <v>460</v>
      </c>
      <c r="M41" s="2">
        <v>3</v>
      </c>
      <c r="N41" s="3">
        <v>39100</v>
      </c>
      <c r="O41" s="4" t="str">
        <f t="shared" si="0"/>
        <v>In Stock</v>
      </c>
      <c r="P41" t="str">
        <f t="shared" si="1"/>
        <v>Apr</v>
      </c>
    </row>
    <row r="42" spans="1:16">
      <c r="A42" t="s">
        <v>182</v>
      </c>
      <c r="B42" s="1">
        <v>45414</v>
      </c>
      <c r="C42" t="s">
        <v>183</v>
      </c>
      <c r="D42" t="s">
        <v>70</v>
      </c>
      <c r="E42" t="s">
        <v>51</v>
      </c>
      <c r="F42" t="s">
        <v>34</v>
      </c>
      <c r="G42" t="s">
        <v>19</v>
      </c>
      <c r="H42" t="s">
        <v>14</v>
      </c>
      <c r="I42" s="2">
        <v>100</v>
      </c>
      <c r="J42" s="2">
        <v>45</v>
      </c>
      <c r="K42" s="2">
        <v>28</v>
      </c>
      <c r="L42" s="3">
        <v>46000</v>
      </c>
      <c r="M42" s="2">
        <v>7</v>
      </c>
      <c r="N42" s="3">
        <v>1288000</v>
      </c>
      <c r="O42" s="4" t="str">
        <f t="shared" si="0"/>
        <v>In Stock</v>
      </c>
      <c r="P42" t="str">
        <f t="shared" si="1"/>
        <v>May</v>
      </c>
    </row>
    <row r="43" spans="1:16">
      <c r="A43" t="s">
        <v>184</v>
      </c>
      <c r="B43" s="1">
        <v>45417</v>
      </c>
      <c r="C43" t="s">
        <v>185</v>
      </c>
      <c r="D43" t="s">
        <v>103</v>
      </c>
      <c r="E43" t="s">
        <v>53</v>
      </c>
      <c r="F43" t="s">
        <v>40</v>
      </c>
      <c r="G43" t="s">
        <v>20</v>
      </c>
      <c r="H43" t="s">
        <v>11</v>
      </c>
      <c r="I43" s="2">
        <v>65</v>
      </c>
      <c r="J43" s="2">
        <v>22</v>
      </c>
      <c r="K43" s="2">
        <v>16</v>
      </c>
      <c r="L43" s="3">
        <v>5800</v>
      </c>
      <c r="M43" s="2">
        <v>9</v>
      </c>
      <c r="N43" s="3">
        <v>92800</v>
      </c>
      <c r="O43" s="4" t="str">
        <f t="shared" si="0"/>
        <v>In Stock</v>
      </c>
      <c r="P43" t="str">
        <f t="shared" si="1"/>
        <v>May</v>
      </c>
    </row>
    <row r="44" spans="1:16">
      <c r="A44" t="s">
        <v>186</v>
      </c>
      <c r="B44" s="1">
        <v>45420</v>
      </c>
      <c r="C44" t="s">
        <v>187</v>
      </c>
      <c r="D44" t="s">
        <v>106</v>
      </c>
      <c r="E44" t="s">
        <v>50</v>
      </c>
      <c r="F44" t="s">
        <v>44</v>
      </c>
      <c r="G44" t="s">
        <v>21</v>
      </c>
      <c r="H44" t="s">
        <v>12</v>
      </c>
      <c r="I44" s="2">
        <v>200</v>
      </c>
      <c r="J44" s="2">
        <v>65</v>
      </c>
      <c r="K44" s="2">
        <v>48</v>
      </c>
      <c r="L44" s="3">
        <v>1900</v>
      </c>
      <c r="M44" s="2">
        <v>4</v>
      </c>
      <c r="N44" s="3">
        <v>91200</v>
      </c>
      <c r="O44" s="4" t="str">
        <f t="shared" si="0"/>
        <v>In Stock</v>
      </c>
      <c r="P44" t="str">
        <f t="shared" si="1"/>
        <v>May</v>
      </c>
    </row>
    <row r="45" spans="1:16">
      <c r="A45" t="s">
        <v>188</v>
      </c>
      <c r="B45" s="1">
        <v>45422</v>
      </c>
      <c r="C45" t="s">
        <v>189</v>
      </c>
      <c r="D45" t="s">
        <v>109</v>
      </c>
      <c r="E45" t="s">
        <v>52</v>
      </c>
      <c r="F45" t="s">
        <v>30</v>
      </c>
      <c r="G45" t="s">
        <v>22</v>
      </c>
      <c r="H45" t="s">
        <v>13</v>
      </c>
      <c r="I45" s="2">
        <v>550</v>
      </c>
      <c r="J45" s="2">
        <v>180</v>
      </c>
      <c r="K45" s="2">
        <v>140</v>
      </c>
      <c r="L45" s="3">
        <v>125</v>
      </c>
      <c r="M45" s="2">
        <v>2</v>
      </c>
      <c r="N45" s="3">
        <v>17500</v>
      </c>
      <c r="O45" s="4" t="str">
        <f t="shared" si="0"/>
        <v>In Stock</v>
      </c>
      <c r="P45" t="str">
        <f t="shared" si="1"/>
        <v>May</v>
      </c>
    </row>
    <row r="46" spans="1:16">
      <c r="A46" t="s">
        <v>190</v>
      </c>
      <c r="B46" s="1">
        <v>45426</v>
      </c>
      <c r="C46" t="s">
        <v>191</v>
      </c>
      <c r="D46" t="s">
        <v>192</v>
      </c>
      <c r="E46" t="s">
        <v>55</v>
      </c>
      <c r="F46" t="s">
        <v>38</v>
      </c>
      <c r="G46" t="s">
        <v>23</v>
      </c>
      <c r="H46" t="s">
        <v>12</v>
      </c>
      <c r="I46" s="2">
        <v>350</v>
      </c>
      <c r="J46" s="2">
        <v>100</v>
      </c>
      <c r="K46" s="2">
        <v>120</v>
      </c>
      <c r="L46" s="3">
        <v>120</v>
      </c>
      <c r="M46" s="2">
        <v>2</v>
      </c>
      <c r="N46" s="3">
        <v>14400</v>
      </c>
      <c r="O46" s="4" t="str">
        <f t="shared" si="0"/>
        <v>In Stock</v>
      </c>
      <c r="P46" t="str">
        <f t="shared" si="1"/>
        <v>May</v>
      </c>
    </row>
    <row r="47" spans="1:16">
      <c r="A47" t="s">
        <v>193</v>
      </c>
      <c r="B47" s="1">
        <v>45428</v>
      </c>
      <c r="C47" t="s">
        <v>194</v>
      </c>
      <c r="D47" t="s">
        <v>195</v>
      </c>
      <c r="E47" t="s">
        <v>54</v>
      </c>
      <c r="F47" t="s">
        <v>32</v>
      </c>
      <c r="G47" t="s">
        <v>19</v>
      </c>
      <c r="H47" t="s">
        <v>14</v>
      </c>
      <c r="I47" s="2">
        <v>40</v>
      </c>
      <c r="J47" s="2">
        <v>18</v>
      </c>
      <c r="K47" s="2">
        <v>8</v>
      </c>
      <c r="L47" s="3">
        <v>3200</v>
      </c>
      <c r="M47" s="2">
        <v>8</v>
      </c>
      <c r="N47" s="3">
        <v>25600</v>
      </c>
      <c r="O47" s="4" t="str">
        <f t="shared" si="0"/>
        <v>In Stock</v>
      </c>
      <c r="P47" t="str">
        <f t="shared" si="1"/>
        <v>May</v>
      </c>
    </row>
    <row r="48" spans="1:16">
      <c r="A48" t="s">
        <v>196</v>
      </c>
      <c r="B48" s="1">
        <v>45431</v>
      </c>
      <c r="C48" t="s">
        <v>197</v>
      </c>
      <c r="D48" t="s">
        <v>88</v>
      </c>
      <c r="E48" t="s">
        <v>51</v>
      </c>
      <c r="F48" t="s">
        <v>42</v>
      </c>
      <c r="G48" t="s">
        <v>20</v>
      </c>
      <c r="H48" t="s">
        <v>11</v>
      </c>
      <c r="I48" s="2">
        <v>55</v>
      </c>
      <c r="J48" s="2">
        <v>28</v>
      </c>
      <c r="K48" s="2">
        <v>22</v>
      </c>
      <c r="L48" s="3">
        <v>33000</v>
      </c>
      <c r="M48" s="2">
        <v>6</v>
      </c>
      <c r="N48" s="3">
        <v>726000</v>
      </c>
      <c r="O48" s="4" t="str">
        <f t="shared" si="0"/>
        <v>In Stock</v>
      </c>
      <c r="P48" t="str">
        <f t="shared" si="1"/>
        <v>May</v>
      </c>
    </row>
    <row r="49" spans="1:16">
      <c r="A49" t="s">
        <v>198</v>
      </c>
      <c r="B49" s="1">
        <v>45434</v>
      </c>
      <c r="C49" t="s">
        <v>199</v>
      </c>
      <c r="D49" t="s">
        <v>121</v>
      </c>
      <c r="E49" t="s">
        <v>53</v>
      </c>
      <c r="F49" t="s">
        <v>36</v>
      </c>
      <c r="G49" t="s">
        <v>21</v>
      </c>
      <c r="H49" t="s">
        <v>12</v>
      </c>
      <c r="I49" s="2">
        <v>35</v>
      </c>
      <c r="J49" s="2">
        <v>16</v>
      </c>
      <c r="K49" s="2">
        <v>9</v>
      </c>
      <c r="L49" s="3">
        <v>7400</v>
      </c>
      <c r="M49" s="2">
        <v>11</v>
      </c>
      <c r="N49" s="3">
        <v>66600</v>
      </c>
      <c r="O49" s="4" t="str">
        <f t="shared" si="0"/>
        <v>In Stock</v>
      </c>
      <c r="P49" t="str">
        <f t="shared" si="1"/>
        <v>May</v>
      </c>
    </row>
    <row r="50" spans="1:16">
      <c r="A50" t="s">
        <v>200</v>
      </c>
      <c r="B50" s="1">
        <v>45436</v>
      </c>
      <c r="C50" t="s">
        <v>201</v>
      </c>
      <c r="D50" t="s">
        <v>124</v>
      </c>
      <c r="E50" t="s">
        <v>50</v>
      </c>
      <c r="F50" t="s">
        <v>34</v>
      </c>
      <c r="G50" t="s">
        <v>22</v>
      </c>
      <c r="H50" t="s">
        <v>13</v>
      </c>
      <c r="I50" s="2">
        <v>240</v>
      </c>
      <c r="J50" s="2">
        <v>72</v>
      </c>
      <c r="K50" s="2">
        <v>58</v>
      </c>
      <c r="L50" s="3">
        <v>2300</v>
      </c>
      <c r="M50" s="2">
        <v>4</v>
      </c>
      <c r="N50" s="3">
        <v>133400</v>
      </c>
      <c r="O50" s="4" t="str">
        <f t="shared" si="0"/>
        <v>In Stock</v>
      </c>
      <c r="P50" t="str">
        <f t="shared" si="1"/>
        <v>May</v>
      </c>
    </row>
    <row r="51" spans="1:16">
      <c r="A51" t="s">
        <v>202</v>
      </c>
      <c r="B51" s="1">
        <v>45439</v>
      </c>
      <c r="C51" t="s">
        <v>203</v>
      </c>
      <c r="D51" t="s">
        <v>127</v>
      </c>
      <c r="E51" t="s">
        <v>52</v>
      </c>
      <c r="F51" t="s">
        <v>40</v>
      </c>
      <c r="G51" t="s">
        <v>23</v>
      </c>
      <c r="H51" t="s">
        <v>12</v>
      </c>
      <c r="I51" s="2">
        <v>950</v>
      </c>
      <c r="J51" s="2">
        <v>280</v>
      </c>
      <c r="K51" s="2">
        <v>380</v>
      </c>
      <c r="L51" s="3">
        <v>42</v>
      </c>
      <c r="M51" s="2">
        <v>1</v>
      </c>
      <c r="N51" s="3">
        <v>15960</v>
      </c>
      <c r="O51" s="4" t="str">
        <f t="shared" si="0"/>
        <v>In Stock</v>
      </c>
      <c r="P51" t="str">
        <f t="shared" si="1"/>
        <v>May</v>
      </c>
    </row>
    <row r="52" spans="1:16">
      <c r="A52" t="s">
        <v>204</v>
      </c>
      <c r="B52" s="1">
        <v>45446</v>
      </c>
      <c r="C52" t="s">
        <v>205</v>
      </c>
      <c r="D52" t="s">
        <v>100</v>
      </c>
      <c r="E52" t="s">
        <v>51</v>
      </c>
      <c r="F52" t="s">
        <v>44</v>
      </c>
      <c r="G52" t="s">
        <v>19</v>
      </c>
      <c r="H52" t="s">
        <v>14</v>
      </c>
      <c r="I52" s="2">
        <v>70</v>
      </c>
      <c r="J52" s="2">
        <v>24</v>
      </c>
      <c r="K52" s="2">
        <v>18</v>
      </c>
      <c r="L52" s="3">
        <v>23000</v>
      </c>
      <c r="M52" s="2">
        <v>7</v>
      </c>
      <c r="N52" s="3">
        <v>414000</v>
      </c>
      <c r="O52" s="4" t="str">
        <f t="shared" si="0"/>
        <v>In Stock</v>
      </c>
      <c r="P52" t="str">
        <f t="shared" si="1"/>
        <v>Jun</v>
      </c>
    </row>
    <row r="53" spans="1:16">
      <c r="A53" t="s">
        <v>206</v>
      </c>
      <c r="B53" s="1">
        <v>45449</v>
      </c>
      <c r="C53" t="s">
        <v>207</v>
      </c>
      <c r="D53" t="s">
        <v>133</v>
      </c>
      <c r="E53" t="s">
        <v>53</v>
      </c>
      <c r="F53" t="s">
        <v>30</v>
      </c>
      <c r="G53" t="s">
        <v>20</v>
      </c>
      <c r="H53" t="s">
        <v>11</v>
      </c>
      <c r="I53" s="2">
        <v>20</v>
      </c>
      <c r="J53" s="2">
        <v>9</v>
      </c>
      <c r="K53" s="2">
        <v>5</v>
      </c>
      <c r="L53" s="3">
        <v>26000</v>
      </c>
      <c r="M53" s="2">
        <v>15</v>
      </c>
      <c r="N53" s="3">
        <v>130000</v>
      </c>
      <c r="O53" s="4" t="str">
        <f t="shared" si="0"/>
        <v>In Stock</v>
      </c>
      <c r="P53" t="str">
        <f t="shared" si="1"/>
        <v>Jun</v>
      </c>
    </row>
    <row r="54" spans="1:16">
      <c r="A54" t="s">
        <v>208</v>
      </c>
      <c r="B54" s="1">
        <v>45452</v>
      </c>
      <c r="C54" t="s">
        <v>209</v>
      </c>
      <c r="D54" t="s">
        <v>136</v>
      </c>
      <c r="E54" t="s">
        <v>50</v>
      </c>
      <c r="F54" t="s">
        <v>38</v>
      </c>
      <c r="G54" t="s">
        <v>21</v>
      </c>
      <c r="H54" t="s">
        <v>12</v>
      </c>
      <c r="I54" s="2">
        <v>320</v>
      </c>
      <c r="J54" s="2">
        <v>85</v>
      </c>
      <c r="K54" s="2">
        <v>75</v>
      </c>
      <c r="L54" s="3">
        <v>950</v>
      </c>
      <c r="M54" s="2">
        <v>3</v>
      </c>
      <c r="N54" s="3">
        <v>71250</v>
      </c>
      <c r="O54" s="4" t="str">
        <f t="shared" si="0"/>
        <v>In Stock</v>
      </c>
      <c r="P54" t="str">
        <f t="shared" si="1"/>
        <v>Jun</v>
      </c>
    </row>
    <row r="55" spans="1:16">
      <c r="A55" t="s">
        <v>210</v>
      </c>
      <c r="B55" s="1">
        <v>45455</v>
      </c>
      <c r="C55" t="s">
        <v>211</v>
      </c>
      <c r="D55" t="s">
        <v>139</v>
      </c>
      <c r="E55" t="s">
        <v>52</v>
      </c>
      <c r="F55" t="s">
        <v>32</v>
      </c>
      <c r="G55" t="s">
        <v>22</v>
      </c>
      <c r="H55" t="s">
        <v>13</v>
      </c>
      <c r="I55" s="2">
        <v>420</v>
      </c>
      <c r="J55" s="2">
        <v>115</v>
      </c>
      <c r="K55" s="2">
        <v>105</v>
      </c>
      <c r="L55" s="3">
        <v>185</v>
      </c>
      <c r="M55" s="2">
        <v>2</v>
      </c>
      <c r="N55" s="3">
        <v>19425</v>
      </c>
      <c r="O55" s="4" t="str">
        <f t="shared" si="0"/>
        <v>In Stock</v>
      </c>
      <c r="P55" t="str">
        <f t="shared" si="1"/>
        <v>Jun</v>
      </c>
    </row>
    <row r="56" spans="1:16">
      <c r="A56" t="s">
        <v>212</v>
      </c>
      <c r="B56" s="1">
        <v>45458</v>
      </c>
      <c r="C56" t="s">
        <v>213</v>
      </c>
      <c r="D56" t="s">
        <v>214</v>
      </c>
      <c r="E56" t="s">
        <v>55</v>
      </c>
      <c r="F56" t="s">
        <v>42</v>
      </c>
      <c r="G56" t="s">
        <v>23</v>
      </c>
      <c r="H56" t="s">
        <v>12</v>
      </c>
      <c r="I56" s="2">
        <v>500</v>
      </c>
      <c r="J56" s="2">
        <v>130</v>
      </c>
      <c r="K56" s="2">
        <v>160</v>
      </c>
      <c r="L56" s="3">
        <v>110</v>
      </c>
      <c r="M56" s="2">
        <v>2</v>
      </c>
      <c r="N56" s="3">
        <v>17600</v>
      </c>
      <c r="O56" s="4" t="str">
        <f t="shared" si="0"/>
        <v>In Stock</v>
      </c>
      <c r="P56" t="str">
        <f t="shared" si="1"/>
        <v>Jun</v>
      </c>
    </row>
    <row r="57" spans="1:16">
      <c r="A57" t="s">
        <v>215</v>
      </c>
      <c r="B57" s="1">
        <v>45461</v>
      </c>
      <c r="C57" t="s">
        <v>216</v>
      </c>
      <c r="D57" t="s">
        <v>217</v>
      </c>
      <c r="E57" t="s">
        <v>54</v>
      </c>
      <c r="F57" t="s">
        <v>36</v>
      </c>
      <c r="G57" t="s">
        <v>19</v>
      </c>
      <c r="H57" t="s">
        <v>14</v>
      </c>
      <c r="I57" s="2">
        <v>55</v>
      </c>
      <c r="J57" s="2">
        <v>22</v>
      </c>
      <c r="K57" s="2">
        <v>10</v>
      </c>
      <c r="L57" s="3">
        <v>5500</v>
      </c>
      <c r="M57" s="2">
        <v>8</v>
      </c>
      <c r="N57" s="3">
        <v>55000</v>
      </c>
      <c r="O57" s="4" t="str">
        <f t="shared" si="0"/>
        <v>In Stock</v>
      </c>
      <c r="P57" t="str">
        <f t="shared" si="1"/>
        <v>Jun</v>
      </c>
    </row>
    <row r="58" spans="1:16">
      <c r="A58" t="s">
        <v>218</v>
      </c>
      <c r="B58" s="1">
        <v>45463</v>
      </c>
      <c r="C58" t="s">
        <v>219</v>
      </c>
      <c r="D58" t="s">
        <v>118</v>
      </c>
      <c r="E58" t="s">
        <v>51</v>
      </c>
      <c r="F58" t="s">
        <v>34</v>
      </c>
      <c r="G58" t="s">
        <v>20</v>
      </c>
      <c r="H58" t="s">
        <v>11</v>
      </c>
      <c r="I58" s="2">
        <v>42</v>
      </c>
      <c r="J58" s="2">
        <v>19</v>
      </c>
      <c r="K58" s="2">
        <v>16</v>
      </c>
      <c r="L58" s="3">
        <v>18500</v>
      </c>
      <c r="M58" s="2">
        <v>8</v>
      </c>
      <c r="N58" s="3">
        <v>296000</v>
      </c>
      <c r="O58" s="4" t="str">
        <f t="shared" si="0"/>
        <v>In Stock</v>
      </c>
      <c r="P58" t="str">
        <f t="shared" si="1"/>
        <v>Jun</v>
      </c>
    </row>
    <row r="59" spans="1:16">
      <c r="A59" t="s">
        <v>220</v>
      </c>
      <c r="B59" s="1">
        <v>45466</v>
      </c>
      <c r="C59" t="s">
        <v>221</v>
      </c>
      <c r="D59" t="s">
        <v>151</v>
      </c>
      <c r="E59" t="s">
        <v>53</v>
      </c>
      <c r="F59" t="s">
        <v>40</v>
      </c>
      <c r="G59" t="s">
        <v>21</v>
      </c>
      <c r="H59" t="s">
        <v>12</v>
      </c>
      <c r="I59" s="2">
        <v>12</v>
      </c>
      <c r="J59" s="2">
        <v>7</v>
      </c>
      <c r="K59" s="2">
        <v>3</v>
      </c>
      <c r="L59" s="3">
        <v>36000</v>
      </c>
      <c r="M59" s="2">
        <v>18</v>
      </c>
      <c r="N59" s="3">
        <v>108000</v>
      </c>
      <c r="O59" s="4" t="str">
        <f t="shared" si="0"/>
        <v>In Stock</v>
      </c>
      <c r="P59" t="str">
        <f t="shared" si="1"/>
        <v>Jun</v>
      </c>
    </row>
    <row r="60" spans="1:16">
      <c r="A60" t="s">
        <v>222</v>
      </c>
      <c r="B60" s="1">
        <v>45468</v>
      </c>
      <c r="C60" t="s">
        <v>223</v>
      </c>
      <c r="D60" t="s">
        <v>154</v>
      </c>
      <c r="E60" t="s">
        <v>50</v>
      </c>
      <c r="F60" t="s">
        <v>44</v>
      </c>
      <c r="G60" t="s">
        <v>22</v>
      </c>
      <c r="H60" t="s">
        <v>13</v>
      </c>
      <c r="I60" s="2">
        <v>100</v>
      </c>
      <c r="J60" s="2">
        <v>32</v>
      </c>
      <c r="K60" s="2">
        <v>24</v>
      </c>
      <c r="L60" s="3">
        <v>4600</v>
      </c>
      <c r="M60" s="2">
        <v>5</v>
      </c>
      <c r="N60" s="3">
        <v>110400</v>
      </c>
      <c r="O60" s="4" t="str">
        <f t="shared" si="0"/>
        <v>In Stock</v>
      </c>
      <c r="P60" t="str">
        <f t="shared" si="1"/>
        <v>Jun</v>
      </c>
    </row>
    <row r="61" spans="1:16">
      <c r="A61" t="s">
        <v>224</v>
      </c>
      <c r="B61" s="1">
        <v>45471</v>
      </c>
      <c r="C61" t="s">
        <v>225</v>
      </c>
      <c r="D61" t="s">
        <v>157</v>
      </c>
      <c r="E61" t="s">
        <v>52</v>
      </c>
      <c r="F61" t="s">
        <v>30</v>
      </c>
      <c r="G61" t="s">
        <v>23</v>
      </c>
      <c r="H61" t="s">
        <v>12</v>
      </c>
      <c r="I61" s="2">
        <v>650</v>
      </c>
      <c r="J61" s="2">
        <v>195</v>
      </c>
      <c r="K61" s="2">
        <v>230</v>
      </c>
      <c r="L61" s="3">
        <v>62</v>
      </c>
      <c r="M61" s="2">
        <v>1</v>
      </c>
      <c r="N61" s="3">
        <v>14260</v>
      </c>
      <c r="O61" s="4" t="str">
        <f t="shared" si="0"/>
        <v>In Stock</v>
      </c>
      <c r="P61" t="str">
        <f t="shared" si="1"/>
        <v>Jun</v>
      </c>
    </row>
    <row r="62" spans="1:16">
      <c r="A62" t="s">
        <v>226</v>
      </c>
      <c r="B62" s="1">
        <v>45475</v>
      </c>
      <c r="C62" t="s">
        <v>227</v>
      </c>
      <c r="D62" t="s">
        <v>130</v>
      </c>
      <c r="E62" t="s">
        <v>51</v>
      </c>
      <c r="F62" t="s">
        <v>38</v>
      </c>
      <c r="G62" t="s">
        <v>19</v>
      </c>
      <c r="H62" t="s">
        <v>14</v>
      </c>
      <c r="I62" s="2">
        <v>170</v>
      </c>
      <c r="J62" s="2">
        <v>52</v>
      </c>
      <c r="K62" s="2">
        <v>48</v>
      </c>
      <c r="L62" s="3">
        <v>2600</v>
      </c>
      <c r="M62" s="2">
        <v>5</v>
      </c>
      <c r="N62" s="3">
        <v>124800</v>
      </c>
      <c r="O62" s="4" t="str">
        <f t="shared" si="0"/>
        <v>In Stock</v>
      </c>
      <c r="P62" t="str">
        <f t="shared" si="1"/>
        <v>Jul</v>
      </c>
    </row>
    <row r="63" spans="1:16">
      <c r="A63" t="s">
        <v>228</v>
      </c>
      <c r="B63" s="1">
        <v>45478</v>
      </c>
      <c r="C63" t="s">
        <v>229</v>
      </c>
      <c r="D63" t="s">
        <v>73</v>
      </c>
      <c r="E63" t="s">
        <v>53</v>
      </c>
      <c r="F63" t="s">
        <v>32</v>
      </c>
      <c r="G63" t="s">
        <v>20</v>
      </c>
      <c r="H63" t="s">
        <v>11</v>
      </c>
      <c r="I63" s="2">
        <v>88</v>
      </c>
      <c r="J63" s="2">
        <v>33</v>
      </c>
      <c r="K63" s="2">
        <v>20</v>
      </c>
      <c r="L63" s="3">
        <v>9000</v>
      </c>
      <c r="M63" s="2">
        <v>10</v>
      </c>
      <c r="N63" s="3">
        <v>180000</v>
      </c>
      <c r="O63" s="4" t="str">
        <f t="shared" si="0"/>
        <v>In Stock</v>
      </c>
      <c r="P63" t="str">
        <f t="shared" si="1"/>
        <v>Jul</v>
      </c>
    </row>
    <row r="64" spans="1:16">
      <c r="A64" t="s">
        <v>230</v>
      </c>
      <c r="B64" s="1">
        <v>45481</v>
      </c>
      <c r="C64" t="s">
        <v>231</v>
      </c>
      <c r="D64" t="s">
        <v>76</v>
      </c>
      <c r="E64" t="s">
        <v>50</v>
      </c>
      <c r="F64" t="s">
        <v>42</v>
      </c>
      <c r="G64" t="s">
        <v>21</v>
      </c>
      <c r="H64" t="s">
        <v>12</v>
      </c>
      <c r="I64" s="2">
        <v>140</v>
      </c>
      <c r="J64" s="2">
        <v>52</v>
      </c>
      <c r="K64" s="2">
        <v>32</v>
      </c>
      <c r="L64" s="3">
        <v>3500</v>
      </c>
      <c r="M64" s="2">
        <v>5</v>
      </c>
      <c r="N64" s="3">
        <v>112000</v>
      </c>
      <c r="O64" s="4" t="str">
        <f t="shared" si="0"/>
        <v>In Stock</v>
      </c>
      <c r="P64" t="str">
        <f t="shared" si="1"/>
        <v>Jul</v>
      </c>
    </row>
    <row r="65" spans="1:16">
      <c r="A65" t="s">
        <v>232</v>
      </c>
      <c r="B65" s="1">
        <v>45484</v>
      </c>
      <c r="C65" t="s">
        <v>233</v>
      </c>
      <c r="D65" t="s">
        <v>79</v>
      </c>
      <c r="E65" t="s">
        <v>52</v>
      </c>
      <c r="F65" t="s">
        <v>36</v>
      </c>
      <c r="G65" t="s">
        <v>22</v>
      </c>
      <c r="H65" t="s">
        <v>13</v>
      </c>
      <c r="I65" s="2">
        <v>260</v>
      </c>
      <c r="J65" s="2">
        <v>88</v>
      </c>
      <c r="K65" s="2">
        <v>65</v>
      </c>
      <c r="L65" s="3">
        <v>630</v>
      </c>
      <c r="M65" s="2">
        <v>3</v>
      </c>
      <c r="N65" s="3">
        <v>40950</v>
      </c>
      <c r="O65" s="4" t="str">
        <f t="shared" si="0"/>
        <v>In Stock</v>
      </c>
      <c r="P65" t="str">
        <f t="shared" si="1"/>
        <v>Jul</v>
      </c>
    </row>
    <row r="66" spans="1:16">
      <c r="A66" t="s">
        <v>234</v>
      </c>
      <c r="B66" s="1">
        <v>45487</v>
      </c>
      <c r="C66" t="s">
        <v>235</v>
      </c>
      <c r="D66" t="s">
        <v>82</v>
      </c>
      <c r="E66" t="s">
        <v>55</v>
      </c>
      <c r="F66" t="s">
        <v>34</v>
      </c>
      <c r="G66" t="s">
        <v>23</v>
      </c>
      <c r="H66" t="s">
        <v>12</v>
      </c>
      <c r="I66" s="2">
        <v>480</v>
      </c>
      <c r="J66" s="2">
        <v>145</v>
      </c>
      <c r="K66" s="2">
        <v>115</v>
      </c>
      <c r="L66" s="3">
        <v>255</v>
      </c>
      <c r="M66" s="2">
        <v>4</v>
      </c>
      <c r="N66" s="3">
        <v>29325</v>
      </c>
      <c r="O66" s="4" t="str">
        <f t="shared" si="0"/>
        <v>In Stock</v>
      </c>
      <c r="P66" t="str">
        <f t="shared" si="1"/>
        <v>Jul</v>
      </c>
    </row>
    <row r="67" spans="1:16">
      <c r="A67" t="s">
        <v>236</v>
      </c>
      <c r="B67" s="1">
        <v>45490</v>
      </c>
      <c r="C67" t="s">
        <v>237</v>
      </c>
      <c r="D67" t="s">
        <v>85</v>
      </c>
      <c r="E67" t="s">
        <v>54</v>
      </c>
      <c r="F67" t="s">
        <v>40</v>
      </c>
      <c r="G67" t="s">
        <v>19</v>
      </c>
      <c r="H67" t="s">
        <v>14</v>
      </c>
      <c r="I67" s="2">
        <v>85</v>
      </c>
      <c r="J67" s="2">
        <v>38</v>
      </c>
      <c r="K67" s="2">
        <v>18</v>
      </c>
      <c r="L67" s="3">
        <v>1250</v>
      </c>
      <c r="M67" s="2">
        <v>8</v>
      </c>
      <c r="N67" s="3">
        <v>22500</v>
      </c>
      <c r="O67" s="4" t="str">
        <f t="shared" ref="O67:O121" si="2">IF(I67=0,"Out Of Stock",IF(I67&lt;=J67,"Low Stock","In Stock"))</f>
        <v>In Stock</v>
      </c>
      <c r="P67" t="str">
        <f t="shared" ref="P67:P121" si="3">TEXT(B67,"MMM")</f>
        <v>Jul</v>
      </c>
    </row>
    <row r="68" spans="1:16">
      <c r="A68" t="s">
        <v>238</v>
      </c>
      <c r="B68" s="1">
        <v>45492</v>
      </c>
      <c r="C68" t="s">
        <v>239</v>
      </c>
      <c r="D68" t="s">
        <v>160</v>
      </c>
      <c r="E68" t="s">
        <v>51</v>
      </c>
      <c r="F68" t="s">
        <v>44</v>
      </c>
      <c r="G68" t="s">
        <v>20</v>
      </c>
      <c r="H68" t="s">
        <v>11</v>
      </c>
      <c r="I68" s="2">
        <v>90</v>
      </c>
      <c r="J68" s="2">
        <v>32</v>
      </c>
      <c r="K68" s="2">
        <v>22</v>
      </c>
      <c r="L68" s="3">
        <v>2300</v>
      </c>
      <c r="M68" s="2">
        <v>5</v>
      </c>
      <c r="N68" s="3">
        <v>50600</v>
      </c>
      <c r="O68" s="4" t="str">
        <f t="shared" si="2"/>
        <v>In Stock</v>
      </c>
      <c r="P68" t="str">
        <f t="shared" si="3"/>
        <v>Jul</v>
      </c>
    </row>
    <row r="69" spans="1:16">
      <c r="A69" t="s">
        <v>240</v>
      </c>
      <c r="B69" s="1">
        <v>45495</v>
      </c>
      <c r="C69" t="s">
        <v>241</v>
      </c>
      <c r="D69" t="s">
        <v>103</v>
      </c>
      <c r="E69" t="s">
        <v>53</v>
      </c>
      <c r="F69" t="s">
        <v>30</v>
      </c>
      <c r="G69" t="s">
        <v>21</v>
      </c>
      <c r="H69" t="s">
        <v>12</v>
      </c>
      <c r="I69" s="2">
        <v>58</v>
      </c>
      <c r="J69" s="2">
        <v>21</v>
      </c>
      <c r="K69" s="2">
        <v>13</v>
      </c>
      <c r="L69" s="3">
        <v>5700</v>
      </c>
      <c r="M69" s="2">
        <v>9</v>
      </c>
      <c r="N69" s="3">
        <v>74100</v>
      </c>
      <c r="O69" s="4" t="str">
        <f t="shared" si="2"/>
        <v>In Stock</v>
      </c>
      <c r="P69" t="str">
        <f t="shared" si="3"/>
        <v>Jul</v>
      </c>
    </row>
    <row r="70" spans="1:16">
      <c r="A70" t="s">
        <v>242</v>
      </c>
      <c r="B70" s="1">
        <v>45498</v>
      </c>
      <c r="C70" t="s">
        <v>243</v>
      </c>
      <c r="D70" t="s">
        <v>94</v>
      </c>
      <c r="E70" t="s">
        <v>50</v>
      </c>
      <c r="F70" t="s">
        <v>38</v>
      </c>
      <c r="G70" t="s">
        <v>22</v>
      </c>
      <c r="H70" t="s">
        <v>13</v>
      </c>
      <c r="I70" s="2">
        <v>160</v>
      </c>
      <c r="J70" s="2">
        <v>52</v>
      </c>
      <c r="K70" s="2">
        <v>38</v>
      </c>
      <c r="L70" s="3">
        <v>2950</v>
      </c>
      <c r="M70" s="2">
        <v>5</v>
      </c>
      <c r="N70" s="3">
        <v>112100</v>
      </c>
      <c r="O70" s="4" t="str">
        <f t="shared" si="2"/>
        <v>In Stock</v>
      </c>
      <c r="P70" t="str">
        <f t="shared" si="3"/>
        <v>Jul</v>
      </c>
    </row>
    <row r="71" spans="1:16">
      <c r="A71" t="s">
        <v>244</v>
      </c>
      <c r="B71" s="1">
        <v>45501</v>
      </c>
      <c r="C71" t="s">
        <v>245</v>
      </c>
      <c r="D71" t="s">
        <v>97</v>
      </c>
      <c r="E71" t="s">
        <v>52</v>
      </c>
      <c r="F71" t="s">
        <v>32</v>
      </c>
      <c r="G71" t="s">
        <v>23</v>
      </c>
      <c r="H71" t="s">
        <v>12</v>
      </c>
      <c r="I71" s="2">
        <v>360</v>
      </c>
      <c r="J71" s="2">
        <v>98</v>
      </c>
      <c r="K71" s="2">
        <v>80</v>
      </c>
      <c r="L71" s="3">
        <v>470</v>
      </c>
      <c r="M71" s="2">
        <v>3</v>
      </c>
      <c r="N71" s="3">
        <v>37600</v>
      </c>
      <c r="O71" s="4" t="str">
        <f t="shared" si="2"/>
        <v>In Stock</v>
      </c>
      <c r="P71" t="str">
        <f t="shared" si="3"/>
        <v>Jul</v>
      </c>
    </row>
    <row r="72" spans="1:16">
      <c r="A72" t="s">
        <v>246</v>
      </c>
      <c r="B72" s="1">
        <v>45505</v>
      </c>
      <c r="C72" t="s">
        <v>247</v>
      </c>
      <c r="D72" t="s">
        <v>175</v>
      </c>
      <c r="E72" t="s">
        <v>51</v>
      </c>
      <c r="F72" t="s">
        <v>42</v>
      </c>
      <c r="G72" t="s">
        <v>19</v>
      </c>
      <c r="H72" t="s">
        <v>14</v>
      </c>
      <c r="I72" s="2">
        <v>130</v>
      </c>
      <c r="J72" s="2">
        <v>43</v>
      </c>
      <c r="K72" s="2">
        <v>32</v>
      </c>
      <c r="L72" s="3">
        <v>3600</v>
      </c>
      <c r="M72" s="2">
        <v>5</v>
      </c>
      <c r="N72" s="3">
        <v>115200</v>
      </c>
      <c r="O72" s="4" t="str">
        <f t="shared" si="2"/>
        <v>In Stock</v>
      </c>
      <c r="P72" t="str">
        <f t="shared" si="3"/>
        <v>Aug</v>
      </c>
    </row>
    <row r="73" spans="1:16">
      <c r="A73" t="s">
        <v>248</v>
      </c>
      <c r="B73" s="1">
        <v>45509</v>
      </c>
      <c r="C73" t="s">
        <v>249</v>
      </c>
      <c r="D73" t="s">
        <v>91</v>
      </c>
      <c r="E73" t="s">
        <v>53</v>
      </c>
      <c r="F73" t="s">
        <v>36</v>
      </c>
      <c r="G73" t="s">
        <v>20</v>
      </c>
      <c r="H73" t="s">
        <v>11</v>
      </c>
      <c r="I73" s="2">
        <v>45</v>
      </c>
      <c r="J73" s="2">
        <v>20</v>
      </c>
      <c r="K73" s="2">
        <v>11</v>
      </c>
      <c r="L73" s="3">
        <v>16500</v>
      </c>
      <c r="M73" s="2">
        <v>12</v>
      </c>
      <c r="N73" s="3">
        <v>181500</v>
      </c>
      <c r="O73" s="4" t="str">
        <f t="shared" si="2"/>
        <v>In Stock</v>
      </c>
      <c r="P73" t="str">
        <f t="shared" si="3"/>
        <v>Aug</v>
      </c>
    </row>
    <row r="74" spans="1:16">
      <c r="A74" t="s">
        <v>250</v>
      </c>
      <c r="B74" s="1">
        <v>45512</v>
      </c>
      <c r="C74" t="s">
        <v>251</v>
      </c>
      <c r="D74" t="s">
        <v>106</v>
      </c>
      <c r="E74" t="s">
        <v>50</v>
      </c>
      <c r="F74" t="s">
        <v>34</v>
      </c>
      <c r="G74" t="s">
        <v>21</v>
      </c>
      <c r="H74" t="s">
        <v>12</v>
      </c>
      <c r="I74" s="2">
        <v>190</v>
      </c>
      <c r="J74" s="2">
        <v>62</v>
      </c>
      <c r="K74" s="2">
        <v>44</v>
      </c>
      <c r="L74" s="3">
        <v>1950</v>
      </c>
      <c r="M74" s="2">
        <v>4</v>
      </c>
      <c r="N74" s="3">
        <v>85800</v>
      </c>
      <c r="O74" s="4" t="str">
        <f t="shared" si="2"/>
        <v>In Stock</v>
      </c>
      <c r="P74" t="str">
        <f t="shared" si="3"/>
        <v>Aug</v>
      </c>
    </row>
    <row r="75" spans="1:16">
      <c r="A75" t="s">
        <v>252</v>
      </c>
      <c r="B75" s="1">
        <v>45516</v>
      </c>
      <c r="C75" t="s">
        <v>253</v>
      </c>
      <c r="D75" t="s">
        <v>109</v>
      </c>
      <c r="E75" t="s">
        <v>52</v>
      </c>
      <c r="F75" t="s">
        <v>40</v>
      </c>
      <c r="G75" t="s">
        <v>22</v>
      </c>
      <c r="H75" t="s">
        <v>13</v>
      </c>
      <c r="I75" s="2">
        <v>520</v>
      </c>
      <c r="J75" s="2">
        <v>175</v>
      </c>
      <c r="K75" s="2">
        <v>135</v>
      </c>
      <c r="L75" s="3">
        <v>128</v>
      </c>
      <c r="M75" s="2">
        <v>2</v>
      </c>
      <c r="N75" s="3">
        <v>17280</v>
      </c>
      <c r="O75" s="4" t="str">
        <f t="shared" si="2"/>
        <v>In Stock</v>
      </c>
      <c r="P75" t="str">
        <f t="shared" si="3"/>
        <v>Aug</v>
      </c>
    </row>
    <row r="76" spans="1:16">
      <c r="A76" t="s">
        <v>254</v>
      </c>
      <c r="B76" s="1">
        <v>45519</v>
      </c>
      <c r="C76" t="s">
        <v>255</v>
      </c>
      <c r="D76" t="s">
        <v>112</v>
      </c>
      <c r="E76" t="s">
        <v>55</v>
      </c>
      <c r="F76" t="s">
        <v>44</v>
      </c>
      <c r="G76" t="s">
        <v>23</v>
      </c>
      <c r="H76" t="s">
        <v>12</v>
      </c>
      <c r="I76" s="2">
        <v>750</v>
      </c>
      <c r="J76" s="2">
        <v>190</v>
      </c>
      <c r="K76" s="2">
        <v>280</v>
      </c>
      <c r="L76" s="3">
        <v>82</v>
      </c>
      <c r="M76" s="2">
        <v>2</v>
      </c>
      <c r="N76" s="3">
        <v>22960</v>
      </c>
      <c r="O76" s="4" t="str">
        <f t="shared" si="2"/>
        <v>In Stock</v>
      </c>
      <c r="P76" t="str">
        <f t="shared" si="3"/>
        <v>Aug</v>
      </c>
    </row>
    <row r="77" spans="1:16">
      <c r="A77" t="s">
        <v>256</v>
      </c>
      <c r="B77" s="1">
        <v>45522</v>
      </c>
      <c r="C77" t="s">
        <v>257</v>
      </c>
      <c r="D77" t="s">
        <v>145</v>
      </c>
      <c r="E77" t="s">
        <v>54</v>
      </c>
      <c r="F77" t="s">
        <v>30</v>
      </c>
      <c r="G77" t="s">
        <v>19</v>
      </c>
      <c r="H77" t="s">
        <v>14</v>
      </c>
      <c r="I77" s="2">
        <v>65</v>
      </c>
      <c r="J77" s="2">
        <v>28</v>
      </c>
      <c r="K77" s="2">
        <v>14</v>
      </c>
      <c r="L77" s="3">
        <v>4600</v>
      </c>
      <c r="M77" s="2">
        <v>7</v>
      </c>
      <c r="N77" s="3">
        <v>64400</v>
      </c>
      <c r="O77" s="4" t="str">
        <f t="shared" si="2"/>
        <v>In Stock</v>
      </c>
      <c r="P77" t="str">
        <f t="shared" si="3"/>
        <v>Aug</v>
      </c>
    </row>
    <row r="78" spans="1:16">
      <c r="A78" t="s">
        <v>258</v>
      </c>
      <c r="B78" s="1">
        <v>45525</v>
      </c>
      <c r="C78" t="s">
        <v>259</v>
      </c>
      <c r="D78" t="s">
        <v>70</v>
      </c>
      <c r="E78" t="s">
        <v>51</v>
      </c>
      <c r="F78" t="s">
        <v>38</v>
      </c>
      <c r="G78" t="s">
        <v>20</v>
      </c>
      <c r="H78" t="s">
        <v>11</v>
      </c>
      <c r="I78" s="2">
        <v>95</v>
      </c>
      <c r="J78" s="2">
        <v>42</v>
      </c>
      <c r="K78" s="2">
        <v>26</v>
      </c>
      <c r="L78" s="3">
        <v>47000</v>
      </c>
      <c r="M78" s="2">
        <v>7</v>
      </c>
      <c r="N78" s="3">
        <v>1222000</v>
      </c>
      <c r="O78" s="4" t="str">
        <f t="shared" si="2"/>
        <v>In Stock</v>
      </c>
      <c r="P78" t="str">
        <f t="shared" si="3"/>
        <v>Aug</v>
      </c>
    </row>
    <row r="79" spans="1:16">
      <c r="A79" t="s">
        <v>260</v>
      </c>
      <c r="B79" s="1">
        <v>45528</v>
      </c>
      <c r="C79" t="s">
        <v>261</v>
      </c>
      <c r="D79" t="s">
        <v>133</v>
      </c>
      <c r="E79" t="s">
        <v>53</v>
      </c>
      <c r="F79" t="s">
        <v>32</v>
      </c>
      <c r="G79" t="s">
        <v>21</v>
      </c>
      <c r="H79" t="s">
        <v>12</v>
      </c>
      <c r="I79" s="2">
        <v>18</v>
      </c>
      <c r="J79" s="2">
        <v>8</v>
      </c>
      <c r="K79" s="2">
        <v>4</v>
      </c>
      <c r="L79" s="3">
        <v>27000</v>
      </c>
      <c r="M79" s="2">
        <v>15</v>
      </c>
      <c r="N79" s="3">
        <v>108000</v>
      </c>
      <c r="O79" s="4" t="str">
        <f t="shared" si="2"/>
        <v>In Stock</v>
      </c>
      <c r="P79" t="str">
        <f t="shared" si="3"/>
        <v>Aug</v>
      </c>
    </row>
    <row r="80" spans="1:16">
      <c r="A80" t="s">
        <v>262</v>
      </c>
      <c r="B80" s="1">
        <v>45531</v>
      </c>
      <c r="C80" t="s">
        <v>263</v>
      </c>
      <c r="D80" t="s">
        <v>136</v>
      </c>
      <c r="E80" t="s">
        <v>50</v>
      </c>
      <c r="F80" t="s">
        <v>42</v>
      </c>
      <c r="G80" t="s">
        <v>22</v>
      </c>
      <c r="H80" t="s">
        <v>13</v>
      </c>
      <c r="I80" s="2">
        <v>295</v>
      </c>
      <c r="J80" s="2">
        <v>82</v>
      </c>
      <c r="K80" s="2">
        <v>68</v>
      </c>
      <c r="L80" s="3">
        <v>980</v>
      </c>
      <c r="M80" s="2">
        <v>3</v>
      </c>
      <c r="N80" s="3">
        <v>66640</v>
      </c>
      <c r="O80" s="4" t="str">
        <f t="shared" si="2"/>
        <v>In Stock</v>
      </c>
      <c r="P80" t="str">
        <f t="shared" si="3"/>
        <v>Aug</v>
      </c>
    </row>
    <row r="81" spans="1:16">
      <c r="A81" t="s">
        <v>264</v>
      </c>
      <c r="B81" s="1">
        <v>45533</v>
      </c>
      <c r="C81" t="s">
        <v>265</v>
      </c>
      <c r="D81" t="s">
        <v>127</v>
      </c>
      <c r="E81" t="s">
        <v>52</v>
      </c>
      <c r="F81" t="s">
        <v>36</v>
      </c>
      <c r="G81" t="s">
        <v>23</v>
      </c>
      <c r="H81" t="s">
        <v>12</v>
      </c>
      <c r="I81" s="2">
        <v>900</v>
      </c>
      <c r="J81" s="2">
        <v>275</v>
      </c>
      <c r="K81" s="2">
        <v>360</v>
      </c>
      <c r="L81" s="3">
        <v>44</v>
      </c>
      <c r="M81" s="2">
        <v>1</v>
      </c>
      <c r="N81" s="3">
        <v>15840</v>
      </c>
      <c r="O81" s="4" t="str">
        <f t="shared" si="2"/>
        <v>In Stock</v>
      </c>
      <c r="P81" t="str">
        <f t="shared" si="3"/>
        <v>Aug</v>
      </c>
    </row>
    <row r="82" spans="1:16">
      <c r="A82" t="s">
        <v>266</v>
      </c>
      <c r="B82" s="1">
        <v>45537</v>
      </c>
      <c r="C82" t="s">
        <v>267</v>
      </c>
      <c r="D82" t="s">
        <v>148</v>
      </c>
      <c r="E82" t="s">
        <v>51</v>
      </c>
      <c r="F82" t="s">
        <v>34</v>
      </c>
      <c r="G82" t="s">
        <v>19</v>
      </c>
      <c r="H82" t="s">
        <v>14</v>
      </c>
      <c r="I82" s="2">
        <v>105</v>
      </c>
      <c r="J82" s="2">
        <v>38</v>
      </c>
      <c r="K82" s="2">
        <v>28</v>
      </c>
      <c r="L82" s="3">
        <v>3900</v>
      </c>
      <c r="M82" s="2">
        <v>6</v>
      </c>
      <c r="N82" s="3">
        <v>109200</v>
      </c>
      <c r="O82" s="4" t="str">
        <f t="shared" si="2"/>
        <v>In Stock</v>
      </c>
      <c r="P82" t="str">
        <f t="shared" si="3"/>
        <v>Sep</v>
      </c>
    </row>
    <row r="83" spans="1:16">
      <c r="A83" t="s">
        <v>268</v>
      </c>
      <c r="B83" s="1">
        <v>45540</v>
      </c>
      <c r="C83" t="s">
        <v>269</v>
      </c>
      <c r="D83" t="s">
        <v>121</v>
      </c>
      <c r="E83" t="s">
        <v>53</v>
      </c>
      <c r="F83" t="s">
        <v>40</v>
      </c>
      <c r="G83" t="s">
        <v>20</v>
      </c>
      <c r="H83" t="s">
        <v>11</v>
      </c>
      <c r="I83" s="2">
        <v>32</v>
      </c>
      <c r="J83" s="2">
        <v>14</v>
      </c>
      <c r="K83" s="2">
        <v>7</v>
      </c>
      <c r="L83" s="3">
        <v>7600</v>
      </c>
      <c r="M83" s="2">
        <v>11</v>
      </c>
      <c r="N83" s="3">
        <v>53200</v>
      </c>
      <c r="O83" s="4" t="str">
        <f t="shared" si="2"/>
        <v>In Stock</v>
      </c>
      <c r="P83" t="str">
        <f t="shared" si="3"/>
        <v>Sep</v>
      </c>
    </row>
    <row r="84" spans="1:16">
      <c r="A84" t="s">
        <v>270</v>
      </c>
      <c r="B84" s="1">
        <v>45544</v>
      </c>
      <c r="C84" t="s">
        <v>271</v>
      </c>
      <c r="D84" t="s">
        <v>124</v>
      </c>
      <c r="E84" t="s">
        <v>50</v>
      </c>
      <c r="F84" t="s">
        <v>44</v>
      </c>
      <c r="G84" t="s">
        <v>21</v>
      </c>
      <c r="H84" t="s">
        <v>12</v>
      </c>
      <c r="I84" s="2">
        <v>230</v>
      </c>
      <c r="J84" s="2">
        <v>68</v>
      </c>
      <c r="K84" s="2">
        <v>52</v>
      </c>
      <c r="L84" s="3">
        <v>2350</v>
      </c>
      <c r="M84" s="2">
        <v>4</v>
      </c>
      <c r="N84" s="3">
        <v>122200</v>
      </c>
      <c r="O84" s="4" t="str">
        <f t="shared" si="2"/>
        <v>In Stock</v>
      </c>
      <c r="P84" t="str">
        <f t="shared" si="3"/>
        <v>Sep</v>
      </c>
    </row>
    <row r="85" spans="1:16">
      <c r="A85" t="s">
        <v>272</v>
      </c>
      <c r="B85" s="1">
        <v>45547</v>
      </c>
      <c r="C85" t="s">
        <v>273</v>
      </c>
      <c r="D85" t="s">
        <v>139</v>
      </c>
      <c r="E85" t="s">
        <v>52</v>
      </c>
      <c r="F85" t="s">
        <v>30</v>
      </c>
      <c r="G85" t="s">
        <v>22</v>
      </c>
      <c r="H85" t="s">
        <v>13</v>
      </c>
      <c r="I85" s="2">
        <v>390</v>
      </c>
      <c r="J85" s="2">
        <v>112</v>
      </c>
      <c r="K85" s="2">
        <v>98</v>
      </c>
      <c r="L85" s="3">
        <v>188</v>
      </c>
      <c r="M85" s="2">
        <v>2</v>
      </c>
      <c r="N85" s="3">
        <v>18424</v>
      </c>
      <c r="O85" s="4" t="str">
        <f t="shared" si="2"/>
        <v>In Stock</v>
      </c>
      <c r="P85" t="str">
        <f t="shared" si="3"/>
        <v>Sep</v>
      </c>
    </row>
    <row r="86" spans="1:16">
      <c r="A86" t="s">
        <v>274</v>
      </c>
      <c r="B86" s="1">
        <v>45550</v>
      </c>
      <c r="C86" t="s">
        <v>275</v>
      </c>
      <c r="D86" t="s">
        <v>142</v>
      </c>
      <c r="E86" t="s">
        <v>55</v>
      </c>
      <c r="F86" t="s">
        <v>38</v>
      </c>
      <c r="G86" t="s">
        <v>23</v>
      </c>
      <c r="H86" t="s">
        <v>12</v>
      </c>
      <c r="I86" s="2">
        <v>580</v>
      </c>
      <c r="J86" s="2">
        <v>148</v>
      </c>
      <c r="K86" s="2">
        <v>195</v>
      </c>
      <c r="L86" s="3">
        <v>152</v>
      </c>
      <c r="M86" s="2">
        <v>3</v>
      </c>
      <c r="N86" s="3">
        <v>29640</v>
      </c>
      <c r="O86" s="4" t="str">
        <f t="shared" si="2"/>
        <v>In Stock</v>
      </c>
      <c r="P86" t="str">
        <f t="shared" si="3"/>
        <v>Sep</v>
      </c>
    </row>
    <row r="87" spans="1:16">
      <c r="A87" t="s">
        <v>276</v>
      </c>
      <c r="B87" s="1">
        <v>45553</v>
      </c>
      <c r="C87" t="s">
        <v>277</v>
      </c>
      <c r="D87" t="s">
        <v>115</v>
      </c>
      <c r="E87" t="s">
        <v>54</v>
      </c>
      <c r="F87" t="s">
        <v>32</v>
      </c>
      <c r="G87" t="s">
        <v>19</v>
      </c>
      <c r="H87" t="s">
        <v>14</v>
      </c>
      <c r="I87" s="2">
        <v>240</v>
      </c>
      <c r="J87" s="2">
        <v>78</v>
      </c>
      <c r="K87" s="2">
        <v>55</v>
      </c>
      <c r="L87" s="3">
        <v>360</v>
      </c>
      <c r="M87" s="2">
        <v>5</v>
      </c>
      <c r="N87" s="3">
        <v>19800</v>
      </c>
      <c r="O87" s="4" t="str">
        <f t="shared" si="2"/>
        <v>In Stock</v>
      </c>
      <c r="P87" t="str">
        <f t="shared" si="3"/>
        <v>Sep</v>
      </c>
    </row>
    <row r="88" spans="1:16">
      <c r="A88" t="s">
        <v>278</v>
      </c>
      <c r="B88" s="1">
        <v>45556</v>
      </c>
      <c r="C88" t="s">
        <v>279</v>
      </c>
      <c r="D88" t="s">
        <v>88</v>
      </c>
      <c r="E88" t="s">
        <v>51</v>
      </c>
      <c r="F88" t="s">
        <v>42</v>
      </c>
      <c r="G88" t="s">
        <v>20</v>
      </c>
      <c r="H88" t="s">
        <v>11</v>
      </c>
      <c r="I88" s="2">
        <v>50</v>
      </c>
      <c r="J88" s="2">
        <v>26</v>
      </c>
      <c r="K88" s="2">
        <v>20</v>
      </c>
      <c r="L88" s="3">
        <v>34000</v>
      </c>
      <c r="M88" s="2">
        <v>6</v>
      </c>
      <c r="N88" s="3">
        <v>680000</v>
      </c>
      <c r="O88" s="4" t="str">
        <f t="shared" si="2"/>
        <v>In Stock</v>
      </c>
      <c r="P88" t="str">
        <f t="shared" si="3"/>
        <v>Sep</v>
      </c>
    </row>
    <row r="89" spans="1:16">
      <c r="A89" t="s">
        <v>280</v>
      </c>
      <c r="B89" s="1">
        <v>45559</v>
      </c>
      <c r="C89" t="s">
        <v>281</v>
      </c>
      <c r="D89" t="s">
        <v>151</v>
      </c>
      <c r="E89" t="s">
        <v>53</v>
      </c>
      <c r="F89" t="s">
        <v>36</v>
      </c>
      <c r="G89" t="s">
        <v>21</v>
      </c>
      <c r="H89" t="s">
        <v>12</v>
      </c>
      <c r="I89" s="2">
        <v>10</v>
      </c>
      <c r="J89" s="2">
        <v>6</v>
      </c>
      <c r="K89" s="2">
        <v>2</v>
      </c>
      <c r="L89" s="3">
        <v>37000</v>
      </c>
      <c r="M89" s="2">
        <v>18</v>
      </c>
      <c r="N89" s="3">
        <v>74000</v>
      </c>
      <c r="O89" s="4" t="str">
        <f t="shared" si="2"/>
        <v>In Stock</v>
      </c>
      <c r="P89" t="str">
        <f t="shared" si="3"/>
        <v>Sep</v>
      </c>
    </row>
    <row r="90" spans="1:16">
      <c r="A90" t="s">
        <v>282</v>
      </c>
      <c r="B90" s="1">
        <v>45562</v>
      </c>
      <c r="C90" t="s">
        <v>283</v>
      </c>
      <c r="D90" t="s">
        <v>154</v>
      </c>
      <c r="E90" t="s">
        <v>50</v>
      </c>
      <c r="F90" t="s">
        <v>34</v>
      </c>
      <c r="G90" t="s">
        <v>22</v>
      </c>
      <c r="H90" t="s">
        <v>13</v>
      </c>
      <c r="I90" s="2">
        <v>108</v>
      </c>
      <c r="J90" s="2">
        <v>34</v>
      </c>
      <c r="K90" s="2">
        <v>26</v>
      </c>
      <c r="L90" s="3">
        <v>4700</v>
      </c>
      <c r="M90" s="2">
        <v>5</v>
      </c>
      <c r="N90" s="3">
        <v>122200</v>
      </c>
      <c r="O90" s="4" t="str">
        <f t="shared" si="2"/>
        <v>In Stock</v>
      </c>
      <c r="P90" t="str">
        <f t="shared" si="3"/>
        <v>Sep</v>
      </c>
    </row>
    <row r="91" spans="1:16">
      <c r="A91" t="s">
        <v>284</v>
      </c>
      <c r="B91" s="1">
        <v>45565</v>
      </c>
      <c r="C91" t="s">
        <v>285</v>
      </c>
      <c r="D91" t="s">
        <v>157</v>
      </c>
      <c r="E91" t="s">
        <v>52</v>
      </c>
      <c r="F91" t="s">
        <v>40</v>
      </c>
      <c r="G91" t="s">
        <v>23</v>
      </c>
      <c r="H91" t="s">
        <v>12</v>
      </c>
      <c r="I91" s="2">
        <v>620</v>
      </c>
      <c r="J91" s="2">
        <v>190</v>
      </c>
      <c r="K91" s="2">
        <v>220</v>
      </c>
      <c r="L91" s="3">
        <v>64</v>
      </c>
      <c r="M91" s="2">
        <v>1</v>
      </c>
      <c r="N91" s="3">
        <v>14080</v>
      </c>
      <c r="O91" s="4" t="str">
        <f t="shared" si="2"/>
        <v>In Stock</v>
      </c>
      <c r="P91" t="str">
        <f t="shared" si="3"/>
        <v>Sep</v>
      </c>
    </row>
    <row r="92" spans="1:16">
      <c r="A92" t="s">
        <v>286</v>
      </c>
      <c r="B92" s="1">
        <v>45568</v>
      </c>
      <c r="C92" t="s">
        <v>287</v>
      </c>
      <c r="D92" t="s">
        <v>100</v>
      </c>
      <c r="E92" t="s">
        <v>51</v>
      </c>
      <c r="F92" t="s">
        <v>44</v>
      </c>
      <c r="G92" t="s">
        <v>19</v>
      </c>
      <c r="H92" t="s">
        <v>14</v>
      </c>
      <c r="I92" s="2">
        <v>68</v>
      </c>
      <c r="J92" s="2">
        <v>23</v>
      </c>
      <c r="K92" s="2">
        <v>16</v>
      </c>
      <c r="L92" s="3">
        <v>24000</v>
      </c>
      <c r="M92" s="2">
        <v>7</v>
      </c>
      <c r="N92" s="3">
        <v>384000</v>
      </c>
      <c r="O92" s="4" t="str">
        <f t="shared" si="2"/>
        <v>In Stock</v>
      </c>
      <c r="P92" t="str">
        <f t="shared" si="3"/>
        <v>Oct</v>
      </c>
    </row>
    <row r="93" spans="1:16">
      <c r="A93" t="s">
        <v>288</v>
      </c>
      <c r="B93" s="1">
        <v>45572</v>
      </c>
      <c r="C93" t="s">
        <v>289</v>
      </c>
      <c r="D93" t="s">
        <v>73</v>
      </c>
      <c r="E93" t="s">
        <v>53</v>
      </c>
      <c r="F93" t="s">
        <v>30</v>
      </c>
      <c r="G93" t="s">
        <v>20</v>
      </c>
      <c r="H93" t="s">
        <v>11</v>
      </c>
      <c r="I93" s="2">
        <v>92</v>
      </c>
      <c r="J93" s="2">
        <v>34</v>
      </c>
      <c r="K93" s="2">
        <v>22</v>
      </c>
      <c r="L93" s="3">
        <v>9200</v>
      </c>
      <c r="M93" s="2">
        <v>10</v>
      </c>
      <c r="N93" s="3">
        <v>202400</v>
      </c>
      <c r="O93" s="4" t="str">
        <f t="shared" si="2"/>
        <v>In Stock</v>
      </c>
      <c r="P93" t="str">
        <f t="shared" si="3"/>
        <v>Oct</v>
      </c>
    </row>
    <row r="94" spans="1:16">
      <c r="A94" t="s">
        <v>290</v>
      </c>
      <c r="B94" s="1">
        <v>45575</v>
      </c>
      <c r="C94" t="s">
        <v>291</v>
      </c>
      <c r="D94" t="s">
        <v>76</v>
      </c>
      <c r="E94" t="s">
        <v>50</v>
      </c>
      <c r="F94" t="s">
        <v>38</v>
      </c>
      <c r="G94" t="s">
        <v>21</v>
      </c>
      <c r="H94" t="s">
        <v>12</v>
      </c>
      <c r="I94" s="2">
        <v>155</v>
      </c>
      <c r="J94" s="2">
        <v>55</v>
      </c>
      <c r="K94" s="2">
        <v>36</v>
      </c>
      <c r="L94" s="3">
        <v>3600</v>
      </c>
      <c r="M94" s="2">
        <v>5</v>
      </c>
      <c r="N94" s="3">
        <v>129600</v>
      </c>
      <c r="O94" s="4" t="str">
        <f t="shared" si="2"/>
        <v>In Stock</v>
      </c>
      <c r="P94" t="str">
        <f t="shared" si="3"/>
        <v>Oct</v>
      </c>
    </row>
    <row r="95" spans="1:16">
      <c r="A95" t="s">
        <v>292</v>
      </c>
      <c r="B95" s="1">
        <v>45579</v>
      </c>
      <c r="C95" t="s">
        <v>293</v>
      </c>
      <c r="D95" t="s">
        <v>79</v>
      </c>
      <c r="E95" t="s">
        <v>52</v>
      </c>
      <c r="F95" t="s">
        <v>32</v>
      </c>
      <c r="G95" t="s">
        <v>22</v>
      </c>
      <c r="H95" t="s">
        <v>13</v>
      </c>
      <c r="I95" s="2">
        <v>240</v>
      </c>
      <c r="J95" s="2">
        <v>85</v>
      </c>
      <c r="K95" s="2">
        <v>60</v>
      </c>
      <c r="L95" s="3">
        <v>640</v>
      </c>
      <c r="M95" s="2">
        <v>3</v>
      </c>
      <c r="N95" s="3">
        <v>38400</v>
      </c>
      <c r="O95" s="4" t="str">
        <f t="shared" si="2"/>
        <v>In Stock</v>
      </c>
      <c r="P95" t="str">
        <f t="shared" si="3"/>
        <v>Oct</v>
      </c>
    </row>
    <row r="96" spans="1:16">
      <c r="A96" t="s">
        <v>294</v>
      </c>
      <c r="B96" s="1">
        <v>45582</v>
      </c>
      <c r="C96" t="s">
        <v>295</v>
      </c>
      <c r="D96" t="s">
        <v>169</v>
      </c>
      <c r="E96" t="s">
        <v>55</v>
      </c>
      <c r="F96" t="s">
        <v>42</v>
      </c>
      <c r="G96" t="s">
        <v>23</v>
      </c>
      <c r="H96" t="s">
        <v>12</v>
      </c>
      <c r="I96" s="2">
        <v>420</v>
      </c>
      <c r="J96" s="2">
        <v>118</v>
      </c>
      <c r="K96" s="2">
        <v>165</v>
      </c>
      <c r="L96" s="3">
        <v>92</v>
      </c>
      <c r="M96" s="2">
        <v>2</v>
      </c>
      <c r="N96" s="3">
        <v>15180</v>
      </c>
      <c r="O96" s="4" t="str">
        <f t="shared" si="2"/>
        <v>In Stock</v>
      </c>
      <c r="P96" t="str">
        <f t="shared" si="3"/>
        <v>Oct</v>
      </c>
    </row>
    <row r="97" spans="1:16">
      <c r="A97" t="s">
        <v>296</v>
      </c>
      <c r="B97" s="1">
        <v>45585</v>
      </c>
      <c r="C97" t="s">
        <v>297</v>
      </c>
      <c r="D97" t="s">
        <v>172</v>
      </c>
      <c r="E97" t="s">
        <v>54</v>
      </c>
      <c r="F97" t="s">
        <v>36</v>
      </c>
      <c r="G97" t="s">
        <v>19</v>
      </c>
      <c r="H97" t="s">
        <v>14</v>
      </c>
      <c r="I97" s="2">
        <v>55</v>
      </c>
      <c r="J97" s="2">
        <v>23</v>
      </c>
      <c r="K97" s="2">
        <v>10</v>
      </c>
      <c r="L97" s="3">
        <v>2900</v>
      </c>
      <c r="M97" s="2">
        <v>7</v>
      </c>
      <c r="N97" s="3">
        <v>29000</v>
      </c>
      <c r="O97" s="4" t="str">
        <f t="shared" si="2"/>
        <v>In Stock</v>
      </c>
      <c r="P97" t="str">
        <f t="shared" si="3"/>
        <v>Oct</v>
      </c>
    </row>
    <row r="98" spans="1:16">
      <c r="A98" t="s">
        <v>298</v>
      </c>
      <c r="B98" s="1">
        <v>45588</v>
      </c>
      <c r="C98" t="s">
        <v>299</v>
      </c>
      <c r="D98" t="s">
        <v>118</v>
      </c>
      <c r="E98" t="s">
        <v>51</v>
      </c>
      <c r="F98" t="s">
        <v>34</v>
      </c>
      <c r="G98" t="s">
        <v>20</v>
      </c>
      <c r="H98" t="s">
        <v>11</v>
      </c>
      <c r="I98" s="2">
        <v>40</v>
      </c>
      <c r="J98" s="2">
        <v>18</v>
      </c>
      <c r="K98" s="2">
        <v>14</v>
      </c>
      <c r="L98" s="3">
        <v>19000</v>
      </c>
      <c r="M98" s="2">
        <v>8</v>
      </c>
      <c r="N98" s="3">
        <v>266000</v>
      </c>
      <c r="O98" s="4" t="str">
        <f t="shared" si="2"/>
        <v>In Stock</v>
      </c>
      <c r="P98" t="str">
        <f t="shared" si="3"/>
        <v>Oct</v>
      </c>
    </row>
    <row r="99" spans="1:16">
      <c r="A99" t="s">
        <v>300</v>
      </c>
      <c r="B99" s="1">
        <v>45591</v>
      </c>
      <c r="C99" t="s">
        <v>301</v>
      </c>
      <c r="D99" t="s">
        <v>103</v>
      </c>
      <c r="E99" t="s">
        <v>53</v>
      </c>
      <c r="F99" t="s">
        <v>40</v>
      </c>
      <c r="G99" t="s">
        <v>21</v>
      </c>
      <c r="H99" t="s">
        <v>12</v>
      </c>
      <c r="I99" s="2">
        <v>62</v>
      </c>
      <c r="J99" s="2">
        <v>23</v>
      </c>
      <c r="K99" s="2">
        <v>15</v>
      </c>
      <c r="L99" s="3">
        <v>5900</v>
      </c>
      <c r="M99" s="2">
        <v>9</v>
      </c>
      <c r="N99" s="3">
        <v>88500</v>
      </c>
      <c r="O99" s="4" t="str">
        <f t="shared" si="2"/>
        <v>In Stock</v>
      </c>
      <c r="P99" t="str">
        <f t="shared" si="3"/>
        <v>Oct</v>
      </c>
    </row>
    <row r="100" spans="1:16">
      <c r="A100" t="s">
        <v>302</v>
      </c>
      <c r="B100" s="1">
        <v>45594</v>
      </c>
      <c r="C100" t="s">
        <v>303</v>
      </c>
      <c r="D100" t="s">
        <v>94</v>
      </c>
      <c r="E100" t="s">
        <v>50</v>
      </c>
      <c r="F100" t="s">
        <v>44</v>
      </c>
      <c r="G100" t="s">
        <v>22</v>
      </c>
      <c r="H100" t="s">
        <v>13</v>
      </c>
      <c r="I100" s="2">
        <v>145</v>
      </c>
      <c r="J100" s="2">
        <v>50</v>
      </c>
      <c r="K100" s="2">
        <v>34</v>
      </c>
      <c r="L100" s="3">
        <v>3000</v>
      </c>
      <c r="M100" s="2">
        <v>5</v>
      </c>
      <c r="N100" s="3">
        <v>102000</v>
      </c>
      <c r="O100" s="4" t="str">
        <f t="shared" si="2"/>
        <v>In Stock</v>
      </c>
      <c r="P100" t="str">
        <f t="shared" si="3"/>
        <v>Oct</v>
      </c>
    </row>
    <row r="101" spans="1:16">
      <c r="A101" t="s">
        <v>304</v>
      </c>
      <c r="B101" s="1">
        <v>45596</v>
      </c>
      <c r="C101" t="s">
        <v>305</v>
      </c>
      <c r="D101" t="s">
        <v>97</v>
      </c>
      <c r="E101" t="s">
        <v>52</v>
      </c>
      <c r="F101" t="s">
        <v>30</v>
      </c>
      <c r="G101" t="s">
        <v>23</v>
      </c>
      <c r="H101" t="s">
        <v>12</v>
      </c>
      <c r="I101" s="2">
        <v>340</v>
      </c>
      <c r="J101" s="2">
        <v>95</v>
      </c>
      <c r="K101" s="2">
        <v>75</v>
      </c>
      <c r="L101" s="3">
        <v>480</v>
      </c>
      <c r="M101" s="2">
        <v>3</v>
      </c>
      <c r="N101" s="3">
        <v>36000</v>
      </c>
      <c r="O101" s="4" t="str">
        <f t="shared" si="2"/>
        <v>In Stock</v>
      </c>
      <c r="P101" t="str">
        <f t="shared" si="3"/>
        <v>Oct</v>
      </c>
    </row>
    <row r="102" spans="1:16">
      <c r="A102" t="s">
        <v>306</v>
      </c>
      <c r="B102" s="1">
        <v>45600</v>
      </c>
      <c r="C102" t="s">
        <v>307</v>
      </c>
      <c r="D102" t="s">
        <v>130</v>
      </c>
      <c r="E102" t="s">
        <v>51</v>
      </c>
      <c r="F102" t="s">
        <v>38</v>
      </c>
      <c r="G102" t="s">
        <v>19</v>
      </c>
      <c r="H102" t="s">
        <v>14</v>
      </c>
      <c r="I102" s="2">
        <v>155</v>
      </c>
      <c r="J102" s="2">
        <v>48</v>
      </c>
      <c r="K102" s="2">
        <v>42</v>
      </c>
      <c r="L102" s="3">
        <v>2700</v>
      </c>
      <c r="M102" s="2">
        <v>5</v>
      </c>
      <c r="N102" s="3">
        <v>113400</v>
      </c>
      <c r="O102" s="4" t="str">
        <f t="shared" si="2"/>
        <v>In Stock</v>
      </c>
      <c r="P102" t="str">
        <f t="shared" si="3"/>
        <v>Nov</v>
      </c>
    </row>
    <row r="103" spans="1:16">
      <c r="A103" t="s">
        <v>308</v>
      </c>
      <c r="B103" s="1">
        <v>45603</v>
      </c>
      <c r="C103" t="s">
        <v>309</v>
      </c>
      <c r="D103" t="s">
        <v>133</v>
      </c>
      <c r="E103" t="s">
        <v>53</v>
      </c>
      <c r="F103" t="s">
        <v>32</v>
      </c>
      <c r="G103" t="s">
        <v>20</v>
      </c>
      <c r="H103" t="s">
        <v>11</v>
      </c>
      <c r="I103" s="2">
        <v>22</v>
      </c>
      <c r="J103" s="2">
        <v>10</v>
      </c>
      <c r="K103" s="2">
        <v>6</v>
      </c>
      <c r="L103" s="3">
        <v>28000</v>
      </c>
      <c r="M103" s="2">
        <v>15</v>
      </c>
      <c r="N103" s="3">
        <v>168000</v>
      </c>
      <c r="O103" s="4" t="str">
        <f t="shared" si="2"/>
        <v>In Stock</v>
      </c>
      <c r="P103" t="str">
        <f t="shared" si="3"/>
        <v>Nov</v>
      </c>
    </row>
    <row r="104" spans="1:16">
      <c r="A104" t="s">
        <v>310</v>
      </c>
      <c r="B104" s="1">
        <v>45606</v>
      </c>
      <c r="C104" t="s">
        <v>311</v>
      </c>
      <c r="D104" t="s">
        <v>106</v>
      </c>
      <c r="E104" t="s">
        <v>50</v>
      </c>
      <c r="F104" t="s">
        <v>42</v>
      </c>
      <c r="G104" t="s">
        <v>21</v>
      </c>
      <c r="H104" t="s">
        <v>12</v>
      </c>
      <c r="I104" s="2">
        <v>210</v>
      </c>
      <c r="J104" s="2">
        <v>68</v>
      </c>
      <c r="K104" s="2">
        <v>50</v>
      </c>
      <c r="L104" s="3">
        <v>2000</v>
      </c>
      <c r="M104" s="2">
        <v>4</v>
      </c>
      <c r="N104" s="3">
        <v>100000</v>
      </c>
      <c r="O104" s="4" t="str">
        <f t="shared" si="2"/>
        <v>In Stock</v>
      </c>
      <c r="P104" t="str">
        <f t="shared" si="3"/>
        <v>Nov</v>
      </c>
    </row>
    <row r="105" spans="1:16">
      <c r="A105" t="s">
        <v>312</v>
      </c>
      <c r="B105" s="1">
        <v>45609</v>
      </c>
      <c r="C105" t="s">
        <v>313</v>
      </c>
      <c r="D105" t="s">
        <v>109</v>
      </c>
      <c r="E105" t="s">
        <v>52</v>
      </c>
      <c r="F105" t="s">
        <v>36</v>
      </c>
      <c r="G105" t="s">
        <v>22</v>
      </c>
      <c r="H105" t="s">
        <v>13</v>
      </c>
      <c r="I105" s="2">
        <v>490</v>
      </c>
      <c r="J105" s="2">
        <v>168</v>
      </c>
      <c r="K105" s="2">
        <v>128</v>
      </c>
      <c r="L105" s="3">
        <v>132</v>
      </c>
      <c r="M105" s="2">
        <v>2</v>
      </c>
      <c r="N105" s="3">
        <v>16896</v>
      </c>
      <c r="O105" s="4" t="str">
        <f t="shared" si="2"/>
        <v>In Stock</v>
      </c>
      <c r="P105" t="str">
        <f t="shared" si="3"/>
        <v>Nov</v>
      </c>
    </row>
    <row r="106" spans="1:16">
      <c r="A106" t="s">
        <v>314</v>
      </c>
      <c r="B106" s="1">
        <v>45612</v>
      </c>
      <c r="C106" t="s">
        <v>315</v>
      </c>
      <c r="D106" t="s">
        <v>192</v>
      </c>
      <c r="E106" t="s">
        <v>55</v>
      </c>
      <c r="F106" t="s">
        <v>34</v>
      </c>
      <c r="G106" t="s">
        <v>23</v>
      </c>
      <c r="H106" t="s">
        <v>12</v>
      </c>
      <c r="I106" s="2">
        <v>320</v>
      </c>
      <c r="J106" s="2">
        <v>98</v>
      </c>
      <c r="K106" s="2">
        <v>112</v>
      </c>
      <c r="L106" s="3">
        <v>122</v>
      </c>
      <c r="M106" s="2">
        <v>2</v>
      </c>
      <c r="N106" s="3">
        <v>13664</v>
      </c>
      <c r="O106" s="4" t="str">
        <f t="shared" si="2"/>
        <v>In Stock</v>
      </c>
      <c r="P106" t="str">
        <f t="shared" si="3"/>
        <v>Nov</v>
      </c>
    </row>
    <row r="107" spans="1:16">
      <c r="A107" t="s">
        <v>316</v>
      </c>
      <c r="B107" s="1">
        <v>45615</v>
      </c>
      <c r="C107" t="s">
        <v>317</v>
      </c>
      <c r="D107" t="s">
        <v>195</v>
      </c>
      <c r="E107" t="s">
        <v>54</v>
      </c>
      <c r="F107" t="s">
        <v>40</v>
      </c>
      <c r="G107" t="s">
        <v>19</v>
      </c>
      <c r="H107" t="s">
        <v>14</v>
      </c>
      <c r="I107" s="2">
        <v>38</v>
      </c>
      <c r="J107" s="2">
        <v>16</v>
      </c>
      <c r="K107" s="2">
        <v>7</v>
      </c>
      <c r="L107" s="3">
        <v>3300</v>
      </c>
      <c r="M107" s="2">
        <v>8</v>
      </c>
      <c r="N107" s="3">
        <v>23100</v>
      </c>
      <c r="O107" s="4" t="str">
        <f t="shared" si="2"/>
        <v>In Stock</v>
      </c>
      <c r="P107" t="str">
        <f t="shared" si="3"/>
        <v>Nov</v>
      </c>
    </row>
    <row r="108" spans="1:16">
      <c r="A108" t="s">
        <v>318</v>
      </c>
      <c r="B108" s="1">
        <v>45618</v>
      </c>
      <c r="C108" t="s">
        <v>319</v>
      </c>
      <c r="D108" t="s">
        <v>160</v>
      </c>
      <c r="E108" t="s">
        <v>51</v>
      </c>
      <c r="F108" t="s">
        <v>44</v>
      </c>
      <c r="G108" t="s">
        <v>20</v>
      </c>
      <c r="H108" t="s">
        <v>11</v>
      </c>
      <c r="I108" s="2">
        <v>95</v>
      </c>
      <c r="J108" s="2">
        <v>35</v>
      </c>
      <c r="K108" s="2">
        <v>25</v>
      </c>
      <c r="L108" s="3">
        <v>2400</v>
      </c>
      <c r="M108" s="2">
        <v>5</v>
      </c>
      <c r="N108" s="3">
        <v>60000</v>
      </c>
      <c r="O108" s="4" t="str">
        <f t="shared" si="2"/>
        <v>In Stock</v>
      </c>
      <c r="P108" t="str">
        <f t="shared" si="3"/>
        <v>Nov</v>
      </c>
    </row>
    <row r="109" spans="1:16">
      <c r="A109" t="s">
        <v>320</v>
      </c>
      <c r="B109" s="1">
        <v>45621</v>
      </c>
      <c r="C109" t="s">
        <v>321</v>
      </c>
      <c r="D109" t="s">
        <v>91</v>
      </c>
      <c r="E109" t="s">
        <v>53</v>
      </c>
      <c r="F109" t="s">
        <v>30</v>
      </c>
      <c r="G109" t="s">
        <v>21</v>
      </c>
      <c r="H109" t="s">
        <v>12</v>
      </c>
      <c r="I109" s="2">
        <v>48</v>
      </c>
      <c r="J109" s="2">
        <v>21</v>
      </c>
      <c r="K109" s="2">
        <v>12</v>
      </c>
      <c r="L109" s="3">
        <v>17000</v>
      </c>
      <c r="M109" s="2">
        <v>12</v>
      </c>
      <c r="N109" s="3">
        <v>204000</v>
      </c>
      <c r="O109" s="4" t="str">
        <f t="shared" si="2"/>
        <v>In Stock</v>
      </c>
      <c r="P109" t="str">
        <f t="shared" si="3"/>
        <v>Nov</v>
      </c>
    </row>
    <row r="110" spans="1:16">
      <c r="A110" t="s">
        <v>322</v>
      </c>
      <c r="B110" s="1">
        <v>45624</v>
      </c>
      <c r="C110" t="s">
        <v>323</v>
      </c>
      <c r="D110" t="s">
        <v>124</v>
      </c>
      <c r="E110" t="s">
        <v>50</v>
      </c>
      <c r="F110" t="s">
        <v>38</v>
      </c>
      <c r="G110" t="s">
        <v>22</v>
      </c>
      <c r="H110" t="s">
        <v>13</v>
      </c>
      <c r="I110" s="2">
        <v>255</v>
      </c>
      <c r="J110" s="2">
        <v>75</v>
      </c>
      <c r="K110" s="2">
        <v>62</v>
      </c>
      <c r="L110" s="3">
        <v>2400</v>
      </c>
      <c r="M110" s="2">
        <v>4</v>
      </c>
      <c r="N110" s="3">
        <v>148800</v>
      </c>
      <c r="O110" s="4" t="str">
        <f t="shared" si="2"/>
        <v>In Stock</v>
      </c>
      <c r="P110" t="str">
        <f t="shared" si="3"/>
        <v>Nov</v>
      </c>
    </row>
    <row r="111" spans="1:16">
      <c r="A111" t="s">
        <v>324</v>
      </c>
      <c r="B111" s="1">
        <v>45626</v>
      </c>
      <c r="C111" t="s">
        <v>325</v>
      </c>
      <c r="D111" t="s">
        <v>127</v>
      </c>
      <c r="E111" t="s">
        <v>52</v>
      </c>
      <c r="F111" t="s">
        <v>32</v>
      </c>
      <c r="G111" t="s">
        <v>23</v>
      </c>
      <c r="H111" t="s">
        <v>12</v>
      </c>
      <c r="I111" s="2">
        <v>880</v>
      </c>
      <c r="J111" s="2">
        <v>268</v>
      </c>
      <c r="K111" s="2">
        <v>340</v>
      </c>
      <c r="L111" s="3">
        <v>46</v>
      </c>
      <c r="M111" s="2">
        <v>1</v>
      </c>
      <c r="N111" s="3">
        <v>15640</v>
      </c>
      <c r="O111" s="4" t="str">
        <f t="shared" si="2"/>
        <v>In Stock</v>
      </c>
      <c r="P111" t="str">
        <f t="shared" si="3"/>
        <v>Nov</v>
      </c>
    </row>
    <row r="112" spans="1:16">
      <c r="A112" t="s">
        <v>326</v>
      </c>
      <c r="B112" s="1">
        <v>45629</v>
      </c>
      <c r="C112" t="s">
        <v>327</v>
      </c>
      <c r="D112" t="s">
        <v>70</v>
      </c>
      <c r="E112" t="s">
        <v>51</v>
      </c>
      <c r="F112" t="s">
        <v>42</v>
      </c>
      <c r="G112" t="s">
        <v>19</v>
      </c>
      <c r="H112" t="s">
        <v>14</v>
      </c>
      <c r="I112" s="2">
        <v>88</v>
      </c>
      <c r="J112" s="2">
        <v>40</v>
      </c>
      <c r="K112" s="2">
        <v>24</v>
      </c>
      <c r="L112" s="3">
        <v>48000</v>
      </c>
      <c r="M112" s="2">
        <v>7</v>
      </c>
      <c r="N112" s="3">
        <v>1152000</v>
      </c>
      <c r="O112" s="4" t="str">
        <f t="shared" si="2"/>
        <v>In Stock</v>
      </c>
      <c r="P112" t="str">
        <f t="shared" si="3"/>
        <v>Dec</v>
      </c>
    </row>
    <row r="113" spans="1:16">
      <c r="A113" t="s">
        <v>328</v>
      </c>
      <c r="B113" s="1">
        <v>45632</v>
      </c>
      <c r="C113" t="s">
        <v>329</v>
      </c>
      <c r="D113" t="s">
        <v>121</v>
      </c>
      <c r="E113" t="s">
        <v>53</v>
      </c>
      <c r="F113" t="s">
        <v>36</v>
      </c>
      <c r="G113" t="s">
        <v>20</v>
      </c>
      <c r="H113" t="s">
        <v>11</v>
      </c>
      <c r="I113" s="2">
        <v>28</v>
      </c>
      <c r="J113" s="2">
        <v>13</v>
      </c>
      <c r="K113" s="2">
        <v>6</v>
      </c>
      <c r="L113" s="3">
        <v>7800</v>
      </c>
      <c r="M113" s="2">
        <v>11</v>
      </c>
      <c r="N113" s="3">
        <v>46800</v>
      </c>
      <c r="O113" s="4" t="str">
        <f t="shared" si="2"/>
        <v>In Stock</v>
      </c>
      <c r="P113" t="str">
        <f t="shared" si="3"/>
        <v>Dec</v>
      </c>
    </row>
    <row r="114" spans="1:16">
      <c r="A114" t="s">
        <v>330</v>
      </c>
      <c r="B114" s="1">
        <v>45635</v>
      </c>
      <c r="C114" t="s">
        <v>331</v>
      </c>
      <c r="D114" t="s">
        <v>136</v>
      </c>
      <c r="E114" t="s">
        <v>50</v>
      </c>
      <c r="F114" t="s">
        <v>34</v>
      </c>
      <c r="G114" t="s">
        <v>21</v>
      </c>
      <c r="H114" t="s">
        <v>12</v>
      </c>
      <c r="I114" s="2">
        <v>340</v>
      </c>
      <c r="J114" s="2">
        <v>88</v>
      </c>
      <c r="K114" s="2">
        <v>80</v>
      </c>
      <c r="L114" s="3">
        <v>1000</v>
      </c>
      <c r="M114" s="2">
        <v>3</v>
      </c>
      <c r="N114" s="3">
        <v>80000</v>
      </c>
      <c r="O114" s="4" t="str">
        <f t="shared" si="2"/>
        <v>In Stock</v>
      </c>
      <c r="P114" t="str">
        <f t="shared" si="3"/>
        <v>Dec</v>
      </c>
    </row>
    <row r="115" spans="1:16">
      <c r="A115" t="s">
        <v>332</v>
      </c>
      <c r="B115" s="1">
        <v>45638</v>
      </c>
      <c r="C115" t="s">
        <v>333</v>
      </c>
      <c r="D115" t="s">
        <v>139</v>
      </c>
      <c r="E115" t="s">
        <v>52</v>
      </c>
      <c r="F115" t="s">
        <v>40</v>
      </c>
      <c r="G115" t="s">
        <v>22</v>
      </c>
      <c r="H115" t="s">
        <v>13</v>
      </c>
      <c r="I115" s="2">
        <v>360</v>
      </c>
      <c r="J115" s="2">
        <v>108</v>
      </c>
      <c r="K115" s="2">
        <v>92</v>
      </c>
      <c r="L115" s="3">
        <v>190</v>
      </c>
      <c r="M115" s="2">
        <v>2</v>
      </c>
      <c r="N115" s="3">
        <v>17480</v>
      </c>
      <c r="O115" s="4" t="str">
        <f t="shared" si="2"/>
        <v>In Stock</v>
      </c>
      <c r="P115" t="str">
        <f t="shared" si="3"/>
        <v>Dec</v>
      </c>
    </row>
    <row r="116" spans="1:16">
      <c r="A116" t="s">
        <v>334</v>
      </c>
      <c r="B116" s="1">
        <v>45641</v>
      </c>
      <c r="C116" t="s">
        <v>335</v>
      </c>
      <c r="D116" t="s">
        <v>214</v>
      </c>
      <c r="E116" t="s">
        <v>55</v>
      </c>
      <c r="F116" t="s">
        <v>44</v>
      </c>
      <c r="G116" t="s">
        <v>23</v>
      </c>
      <c r="H116" t="s">
        <v>12</v>
      </c>
      <c r="I116" s="2">
        <v>460</v>
      </c>
      <c r="J116" s="2">
        <v>125</v>
      </c>
      <c r="K116" s="2">
        <v>148</v>
      </c>
      <c r="L116" s="3">
        <v>112</v>
      </c>
      <c r="M116" s="2">
        <v>2</v>
      </c>
      <c r="N116" s="3">
        <v>16576</v>
      </c>
      <c r="O116" s="4" t="str">
        <f t="shared" si="2"/>
        <v>In Stock</v>
      </c>
      <c r="P116" t="str">
        <f t="shared" si="3"/>
        <v>Dec</v>
      </c>
    </row>
    <row r="117" spans="1:16">
      <c r="A117" t="s">
        <v>336</v>
      </c>
      <c r="B117" s="1">
        <v>45644</v>
      </c>
      <c r="C117" t="s">
        <v>337</v>
      </c>
      <c r="D117" t="s">
        <v>217</v>
      </c>
      <c r="E117" t="s">
        <v>54</v>
      </c>
      <c r="F117" t="s">
        <v>30</v>
      </c>
      <c r="G117" t="s">
        <v>19</v>
      </c>
      <c r="H117" t="s">
        <v>14</v>
      </c>
      <c r="I117" s="2">
        <v>50</v>
      </c>
      <c r="J117" s="2">
        <v>20</v>
      </c>
      <c r="K117" s="2">
        <v>9</v>
      </c>
      <c r="L117" s="3">
        <v>5600</v>
      </c>
      <c r="M117" s="2">
        <v>8</v>
      </c>
      <c r="N117" s="3">
        <v>50400</v>
      </c>
      <c r="O117" s="4" t="str">
        <f t="shared" si="2"/>
        <v>In Stock</v>
      </c>
      <c r="P117" t="str">
        <f t="shared" si="3"/>
        <v>Dec</v>
      </c>
    </row>
    <row r="118" spans="1:16">
      <c r="A118" t="s">
        <v>338</v>
      </c>
      <c r="B118" s="1">
        <v>45647</v>
      </c>
      <c r="C118" t="s">
        <v>339</v>
      </c>
      <c r="D118" t="s">
        <v>175</v>
      </c>
      <c r="E118" t="s">
        <v>51</v>
      </c>
      <c r="F118" t="s">
        <v>38</v>
      </c>
      <c r="G118" t="s">
        <v>20</v>
      </c>
      <c r="H118" t="s">
        <v>11</v>
      </c>
      <c r="I118" s="2">
        <v>125</v>
      </c>
      <c r="J118" s="2">
        <v>42</v>
      </c>
      <c r="K118" s="2">
        <v>30</v>
      </c>
      <c r="L118" s="3">
        <v>3700</v>
      </c>
      <c r="M118" s="2">
        <v>5</v>
      </c>
      <c r="N118" s="3">
        <v>111000</v>
      </c>
      <c r="O118" s="4" t="str">
        <f t="shared" si="2"/>
        <v>In Stock</v>
      </c>
      <c r="P118" t="str">
        <f t="shared" si="3"/>
        <v>Dec</v>
      </c>
    </row>
    <row r="119" spans="1:16">
      <c r="A119" t="s">
        <v>340</v>
      </c>
      <c r="B119" s="1">
        <v>45650</v>
      </c>
      <c r="C119" t="s">
        <v>341</v>
      </c>
      <c r="D119" t="s">
        <v>151</v>
      </c>
      <c r="E119" t="s">
        <v>53</v>
      </c>
      <c r="F119" t="s">
        <v>32</v>
      </c>
      <c r="G119" t="s">
        <v>21</v>
      </c>
      <c r="H119" t="s">
        <v>12</v>
      </c>
      <c r="I119" s="2">
        <v>8</v>
      </c>
      <c r="J119" s="2">
        <v>5</v>
      </c>
      <c r="K119" s="2">
        <v>2</v>
      </c>
      <c r="L119" s="3">
        <v>38000</v>
      </c>
      <c r="M119" s="2">
        <v>18</v>
      </c>
      <c r="N119" s="3">
        <v>76000</v>
      </c>
      <c r="O119" s="4" t="str">
        <f t="shared" si="2"/>
        <v>In Stock</v>
      </c>
      <c r="P119" t="str">
        <f t="shared" si="3"/>
        <v>Dec</v>
      </c>
    </row>
    <row r="120" spans="1:16">
      <c r="A120" t="s">
        <v>342</v>
      </c>
      <c r="B120" s="1">
        <v>45653</v>
      </c>
      <c r="C120" t="s">
        <v>343</v>
      </c>
      <c r="D120" t="s">
        <v>154</v>
      </c>
      <c r="E120" t="s">
        <v>50</v>
      </c>
      <c r="F120" t="s">
        <v>42</v>
      </c>
      <c r="G120" t="s">
        <v>22</v>
      </c>
      <c r="H120" t="s">
        <v>13</v>
      </c>
      <c r="I120" s="2">
        <v>115</v>
      </c>
      <c r="J120" s="2">
        <v>36</v>
      </c>
      <c r="K120" s="2">
        <v>28</v>
      </c>
      <c r="L120" s="3">
        <v>4800</v>
      </c>
      <c r="M120" s="2">
        <v>5</v>
      </c>
      <c r="N120" s="3">
        <v>134400</v>
      </c>
      <c r="O120" s="4" t="str">
        <f t="shared" si="2"/>
        <v>In Stock</v>
      </c>
      <c r="P120" t="str">
        <f t="shared" si="3"/>
        <v>Dec</v>
      </c>
    </row>
    <row r="121" spans="1:16">
      <c r="A121" t="s">
        <v>344</v>
      </c>
      <c r="B121" s="1">
        <v>45656</v>
      </c>
      <c r="C121" t="s">
        <v>345</v>
      </c>
      <c r="D121" t="s">
        <v>157</v>
      </c>
      <c r="E121" t="s">
        <v>52</v>
      </c>
      <c r="F121" t="s">
        <v>36</v>
      </c>
      <c r="G121" t="s">
        <v>23</v>
      </c>
      <c r="H121" t="s">
        <v>12</v>
      </c>
      <c r="I121" s="2">
        <v>580</v>
      </c>
      <c r="J121" s="2">
        <v>185</v>
      </c>
      <c r="K121" s="2">
        <v>205</v>
      </c>
      <c r="L121" s="3">
        <v>65</v>
      </c>
      <c r="M121" s="2">
        <v>1</v>
      </c>
      <c r="N121" s="3">
        <v>13325</v>
      </c>
      <c r="O121" s="4" t="str">
        <f t="shared" si="2"/>
        <v>In Stock</v>
      </c>
      <c r="P121" t="str">
        <f t="shared" si="3"/>
        <v>Dec</v>
      </c>
    </row>
  </sheetData>
  <conditionalFormatting sqref="O1:O1048576">
    <cfRule type="containsText" dxfId="1" priority="2" operator="containsText" text="In Stock">
      <formula>NOT(ISERROR(SEARCH("In Stock",O1)))</formula>
    </cfRule>
  </conditionalFormatting>
  <conditionalFormatting sqref="O1:O1048576">
    <cfRule type="containsText" dxfId="0" priority="1" operator="containsText" text="Out of Stock">
      <formula>NOT(ISERROR(SEARCH("Out of Stock",O1)))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F0A8-4E57-4A0B-8026-1DB8D5C7AD93}">
  <dimension ref="A1:G14"/>
  <sheetViews>
    <sheetView workbookViewId="0">
      <selection activeCell="A12" sqref="A12:B14"/>
    </sheetView>
  </sheetViews>
  <sheetFormatPr defaultRowHeight="15"/>
  <cols>
    <col min="1" max="1" width="16.140625" bestFit="1" customWidth="1"/>
    <col min="2" max="2" width="12.28515625" bestFit="1" customWidth="1"/>
    <col min="4" max="4" width="18.42578125" bestFit="1" customWidth="1"/>
    <col min="5" max="5" width="12.85546875" customWidth="1"/>
    <col min="6" max="6" width="11.28515625" customWidth="1"/>
    <col min="7" max="7" width="16.28515625" customWidth="1"/>
  </cols>
  <sheetData>
    <row r="1" spans="1:7">
      <c r="A1" s="20" t="s">
        <v>346</v>
      </c>
      <c r="B1" s="20"/>
      <c r="D1" s="7" t="s">
        <v>49</v>
      </c>
      <c r="E1" s="7" t="s">
        <v>66</v>
      </c>
      <c r="F1" s="7" t="s">
        <v>347</v>
      </c>
      <c r="G1" s="7" t="s">
        <v>348</v>
      </c>
    </row>
    <row r="2" spans="1:7">
      <c r="A2" t="s">
        <v>66</v>
      </c>
      <c r="B2" s="2">
        <f>SUM('Raw Data'!N2:N121)</f>
        <v>17229495</v>
      </c>
      <c r="D2" s="8" t="s">
        <v>51</v>
      </c>
      <c r="E2" s="8">
        <f>SUMIF('Raw Data'!E2:E121,D2,'Raw Data'!N2:N121)</f>
        <v>10419200</v>
      </c>
      <c r="F2" s="8">
        <f>SUMIF('Raw Data'!E2:E121,D2,'Raw Data'!K2:K121)</f>
        <v>634</v>
      </c>
      <c r="G2" s="8">
        <f>AVERAGEIF('Raw Data'!E2:E121,D2,'Raw Data'!L2:L121)</f>
        <v>18445.833333333332</v>
      </c>
    </row>
    <row r="3" spans="1:7">
      <c r="A3" t="s">
        <v>349</v>
      </c>
      <c r="B3" s="6">
        <f>SUM('Raw Data'!K2:K121)</f>
        <v>8254</v>
      </c>
      <c r="D3" s="8" t="s">
        <v>53</v>
      </c>
      <c r="E3" s="8">
        <f>SUMIF('Raw Data'!E3:E122,D3,'Raw Data'!N3:N122)</f>
        <v>2989000</v>
      </c>
      <c r="F3" s="8">
        <f>SUMIF('Raw Data'!E3:E122,D3,'Raw Data'!K3:K122)</f>
        <v>247</v>
      </c>
      <c r="G3" s="8">
        <f>AVERAGEIF('Raw Data'!E3:E122,D3,'Raw Data'!L3:L122)</f>
        <v>16870.833333333332</v>
      </c>
    </row>
    <row r="4" spans="1:7">
      <c r="A4" t="s">
        <v>350</v>
      </c>
      <c r="B4" s="6">
        <f>COUNTA('Raw Data'!A2:A121)</f>
        <v>120</v>
      </c>
      <c r="D4" s="8" t="s">
        <v>50</v>
      </c>
      <c r="E4" s="8">
        <f>SUMIF('Raw Data'!E4:E123,D4,'Raw Data'!N4:N123)</f>
        <v>2536990</v>
      </c>
      <c r="F4" s="8">
        <f>SUMIF('Raw Data'!E4:E123,D4,'Raw Data'!K4:K123)</f>
        <v>1092</v>
      </c>
      <c r="G4" s="8">
        <f>AVERAGEIF('Raw Data'!E4:E123,D4,'Raw Data'!L4:L123)</f>
        <v>2695</v>
      </c>
    </row>
    <row r="5" spans="1:7">
      <c r="A5" t="s">
        <v>348</v>
      </c>
      <c r="B5" s="5">
        <f>AVERAGE('Raw Data'!L2:L121)</f>
        <v>7962.3</v>
      </c>
      <c r="D5" s="8" t="s">
        <v>52</v>
      </c>
      <c r="E5" s="8">
        <f>SUMIF('Raw Data'!E5:E124,D5,'Raw Data'!N5:N124)</f>
        <v>588860</v>
      </c>
      <c r="F5" s="8">
        <f>SUMIF('Raw Data'!E5:E124,D5,'Raw Data'!K5:K124)</f>
        <v>3948</v>
      </c>
      <c r="G5" s="8">
        <f>AVERAGEIF('Raw Data'!E5:E124,D5,'Raw Data'!L5:L124)</f>
        <v>250.875</v>
      </c>
    </row>
    <row r="6" spans="1:7">
      <c r="A6" t="s">
        <v>351</v>
      </c>
      <c r="B6" s="5">
        <f>AVERAGE('Raw Data'!M2:M121)</f>
        <v>5.9666666666666668</v>
      </c>
      <c r="D6" s="8" t="s">
        <v>55</v>
      </c>
      <c r="E6" s="8">
        <f>SUMIF('Raw Data'!E6:E125,D6,'Raw Data'!N6:N125)</f>
        <v>259545</v>
      </c>
      <c r="F6" s="8">
        <f>SUMIF('Raw Data'!E6:E125,D6,'Raw Data'!K6:K125)</f>
        <v>2095</v>
      </c>
      <c r="G6" s="8">
        <f>AVERAGEIF('Raw Data'!E6:E125,D6,'Raw Data'!L6:L125)</f>
        <v>134.58333333333334</v>
      </c>
    </row>
    <row r="7" spans="1:7">
      <c r="A7" t="s">
        <v>352</v>
      </c>
      <c r="B7" s="6">
        <f>COUNTIF('Raw Data'!O2:O121,"Low Stock")</f>
        <v>0</v>
      </c>
      <c r="D7" s="8" t="s">
        <v>54</v>
      </c>
      <c r="E7" s="8">
        <f>SUMIF('Raw Data'!E7:E126,D7,'Raw Data'!N7:N126)</f>
        <v>435900</v>
      </c>
      <c r="F7" s="8">
        <f>SUMIF('Raw Data'!E7:E126,D7,'Raw Data'!K7:K126)</f>
        <v>238</v>
      </c>
      <c r="G7" s="8">
        <f>AVERAGEIF('Raw Data'!E7:E126,D7,'Raw Data'!L7:L126)</f>
        <v>2963.3333333333335</v>
      </c>
    </row>
    <row r="8" spans="1:7">
      <c r="A8" t="s">
        <v>353</v>
      </c>
      <c r="B8" s="6">
        <f>COUNTIF('Raw Data'!O2:O121,"Out of Stock")</f>
        <v>0</v>
      </c>
    </row>
    <row r="9" spans="1:7">
      <c r="A9" t="s">
        <v>354</v>
      </c>
    </row>
    <row r="12" spans="1:7">
      <c r="A12" t="s">
        <v>355</v>
      </c>
      <c r="B12">
        <f>COUNTIF('Raw Data'!O2:O121,"In Stock")</f>
        <v>120</v>
      </c>
    </row>
    <row r="13" spans="1:7">
      <c r="A13" t="s">
        <v>356</v>
      </c>
      <c r="B13">
        <f>COUNTIF('Raw Data'!O2:O121,"Low Stock")</f>
        <v>0</v>
      </c>
    </row>
    <row r="14" spans="1:7">
      <c r="A14" t="s">
        <v>352</v>
      </c>
      <c r="B14">
        <f>COUNTIF('Raw Data'!O2:O121,"Out of Stock")</f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2026-06-11T06:42:51Z</dcterms:created>
  <dcterms:modified xsi:type="dcterms:W3CDTF">2026-06-12T09:35:52Z</dcterms:modified>
  <cp:category/>
  <cp:contentStatus/>
</cp:coreProperties>
</file>